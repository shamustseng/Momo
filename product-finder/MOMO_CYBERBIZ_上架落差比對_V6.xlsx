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MOMO 對比" sheetId="2" state="visible" r:id="rId2"/>
    <sheet xmlns:r="http://schemas.openxmlformats.org/officeDocument/2006/relationships" name="CYBERBIZ 對比" sheetId="3" state="visible" r:id="rId3"/>
    <sheet xmlns:r="http://schemas.openxmlformats.org/officeDocument/2006/relationships" name="MOMO 現有未列項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Arial"/>
      <b val="1"/>
      <color rgb="001E2761"/>
      <sz val="18"/>
    </font>
    <font>
      <name val="Arial"/>
      <i val="1"/>
      <color rgb="00666666"/>
      <sz val="10"/>
    </font>
    <font>
      <name val="Arial"/>
      <b val="1"/>
      <color rgb="001E2761"/>
      <sz val="13"/>
    </font>
    <font>
      <name val="Arial"/>
      <sz val="11"/>
    </font>
    <font>
      <name val="Arial"/>
      <b val="1"/>
      <sz val="12"/>
    </font>
    <font>
      <name val="Arial"/>
      <b val="1"/>
      <color rgb="00CC0000"/>
      <sz val="14"/>
    </font>
    <font>
      <name val="Arial"/>
      <i val="1"/>
      <color rgb="00666666"/>
      <sz val="9"/>
    </font>
    <font>
      <name val="Arial"/>
      <b val="1"/>
      <color rgb="001E2761"/>
      <sz val="12"/>
    </font>
    <font>
      <name val="Arial"/>
      <color rgb="00333333"/>
      <sz val="10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1E2761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2" borderId="1" pivotButton="0" quotePrefix="0" xfId="0"/>
    <xf numFmtId="0" fontId="0" fillId="0" borderId="4" pivotButton="0" quotePrefix="0" xfId="0"/>
    <xf numFmtId="0" fontId="11" fillId="3" borderId="1" pivotButton="0" quotePrefix="0" xfId="0"/>
    <xf numFmtId="0" fontId="11" fillId="4" borderId="1" pivotButton="0" quotePrefix="0" xfId="0"/>
    <xf numFmtId="0" fontId="11" fillId="5" borderId="1" pivotButton="0" quotePrefix="0" xfId="0"/>
    <xf numFmtId="0" fontId="12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164" fontId="11" fillId="0" borderId="1" applyAlignment="1" pivotButton="0" quotePrefix="0" xfId="0">
      <alignment vertical="top"/>
    </xf>
    <xf numFmtId="0" fontId="11" fillId="5" borderId="1" applyAlignment="1" pivotButton="0" quotePrefix="0" xfId="0">
      <alignment vertical="top"/>
    </xf>
    <xf numFmtId="0" fontId="11" fillId="2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3" fillId="0" borderId="1" pivotButton="0" quotePrefix="0" xfId="0"/>
    <xf numFmtId="164" fontId="13" fillId="0" borderId="1" pivotButton="0" quotePrefix="0" xfId="0"/>
    <xf numFmtId="0" fontId="11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3" customWidth="1" min="5" max="5"/>
    <col width="14" customWidth="1" min="6" max="6"/>
    <col width="10" customWidth="1" min="7" max="7"/>
    <col width="10" customWidth="1" min="8" max="8"/>
    <col width="10" customWidth="1" min="9" max="9"/>
  </cols>
  <sheetData>
    <row r="2">
      <c r="B2" s="1" t="inlineStr">
        <is>
          <t>阿爾法九週年｜MOMO × CYBERBIZ 商品上架落差報告</t>
        </is>
      </c>
    </row>
    <row r="3">
      <c r="B3" s="2" t="inlineStr">
        <is>
          <t>對照《MOMO × CYBERBIZ 商品與銷售執行計畫》2026.09.14 正式執行版 V6 附錄1／附錄2（V6 附錄內容與 V2 完全一致），與 2026-09-14 實際爬取的平台上架資料</t>
        </is>
      </c>
    </row>
    <row r="5">
      <c r="B5" s="3" t="inlineStr">
        <is>
          <t>MOMO</t>
        </is>
      </c>
      <c r="E5" s="3" t="inlineStr">
        <is>
          <t>CYBERBIZ</t>
        </is>
      </c>
    </row>
    <row r="6">
      <c r="B6" s="4" t="inlineStr">
        <is>
          <t>方案 SKU 數</t>
        </is>
      </c>
      <c r="C6" s="5">
        <f>COUNTA('MOMO 對比'!$B$3:$B$40)</f>
        <v/>
      </c>
      <c r="E6" s="4" t="inlineStr">
        <is>
          <t>方案 SKU 數</t>
        </is>
      </c>
      <c r="F6" s="5">
        <f>COUNTA('CYBERBIZ 對比'!$B$3:$B$38)</f>
        <v/>
      </c>
    </row>
    <row r="7">
      <c r="B7" s="4" t="inlineStr">
        <is>
          <t>已上架且售價一致</t>
        </is>
      </c>
      <c r="C7" s="5">
        <f>COUNTIF('MOMO 對比'!$G$3:$G$40,"已上架，售價一致")</f>
        <v/>
      </c>
      <c r="E7" s="4" t="inlineStr">
        <is>
          <t>已上架且售價一致</t>
        </is>
      </c>
      <c r="F7" s="5">
        <f>COUNTIF('CYBERBIZ 對比'!$G$3:$G$38,"已上架，售價一致")</f>
        <v/>
      </c>
    </row>
    <row r="8">
      <c r="B8" s="4" t="inlineStr">
        <is>
          <t>已上架但售價／規格不符</t>
        </is>
      </c>
      <c r="C8" s="5">
        <f>COUNTIF('MOMO 對比'!$G$3:$G$40,"已上架，售價不符")+COUNTIF('MOMO 對比'!$G$3:$G$40,"已上架，規格待確認")</f>
        <v/>
      </c>
      <c r="E8" s="4" t="inlineStr">
        <is>
          <t>已上架但售價／規格不符</t>
        </is>
      </c>
      <c r="F8" s="5">
        <f>COUNTIF('CYBERBIZ 對比'!$G$3:$G$38,"已上架，售價不符")+COUNTIF('CYBERBIZ 對比'!$G$3:$G$38,"已上架，規格待確認")</f>
        <v/>
      </c>
    </row>
    <row r="9">
      <c r="B9" s="4" t="inlineStr">
        <is>
          <t>尚未上架</t>
        </is>
      </c>
      <c r="C9" s="5">
        <f>COUNTIF('MOMO 對比'!$G$3:$G$40,"尚未上架")</f>
        <v/>
      </c>
      <c r="E9" s="4" t="inlineStr">
        <is>
          <t>尚未上架</t>
        </is>
      </c>
      <c r="F9" s="5">
        <f>COUNTIF('CYBERBIZ 對比'!$G$3:$G$38,"尚未上架")</f>
        <v/>
      </c>
    </row>
    <row r="10">
      <c r="B10" s="4" t="inlineStr">
        <is>
          <t>方案銷售預估</t>
        </is>
      </c>
      <c r="C10" s="6">
        <f>SUM('MOMO 對比'!$F$3:$F$40)</f>
        <v/>
      </c>
      <c r="E10" s="4" t="inlineStr">
        <is>
          <t>方案銷售預估</t>
        </is>
      </c>
      <c r="F10" s="6">
        <f>SUM('CYBERBIZ 對比'!$F$3:$F$38)</f>
        <v/>
      </c>
    </row>
    <row r="11">
      <c r="B11" s="4" t="inlineStr">
        <is>
          <t>尚未上架商品之預估金額缺口</t>
        </is>
      </c>
      <c r="C11" s="6">
        <f>SUMIF('MOMO 對比'!$G$3:$G$40,"尚未上架",'MOMO 對比'!$F$3:$F$40)</f>
        <v/>
      </c>
      <c r="E11" s="4" t="inlineStr">
        <is>
          <t>尚未上架商品之預估金額缺口</t>
        </is>
      </c>
      <c r="F11" s="6">
        <f>SUMIF('CYBERBIZ 對比'!$G$3:$G$38,"尚未上架",'CYBERBIZ 對比'!$F$3:$F$38)</f>
        <v/>
      </c>
    </row>
    <row r="13">
      <c r="B13" s="3" t="inlineStr">
        <is>
          <t>兩平台合計｜尚未上架商品之預估金額缺口</t>
        </is>
      </c>
      <c r="F13" s="7">
        <f>C11+F11</f>
        <v/>
      </c>
    </row>
    <row r="14">
      <c r="B14" s="8" t="inlineStr">
        <is>
          <t>＝方案總預估 1,885,879 元中，以今天（9/14）平台實際上架狀況推算，仍缺口未上架部分的比例</t>
        </is>
      </c>
    </row>
    <row r="16" ht="20" customHeight="1">
      <c r="B16" s="9" t="inlineStr">
        <is>
          <t>怎麼看這份報告</t>
        </is>
      </c>
    </row>
    <row r="17">
      <c r="B17" s="10" t="inlineStr">
        <is>
          <t>0. 方案已更新到 V6：V6 只改了直播段落結構（四層→七段）與 MOMO 滿額贈機制（加碼券→100元線上券），附錄1／附錄2／附錄5 的 SKU 清單、售價、計畫數量、總額逐字不變，本比對結果與 V2 版本相同，不需重跑。</t>
        </is>
      </c>
    </row>
    <row r="18">
      <c r="B18" s="10" t="inlineStr">
        <is>
          <t>1.「已上架，售價不符」：商品頁已存在，但目前售價與方案不同，需請 Cherrie／Shamus 團隊改價，不算「未上架」。</t>
        </is>
      </c>
    </row>
    <row r="19">
      <c r="B19" s="10" t="inlineStr">
        <is>
          <t>2.「已上架，規格待確認」：商品頁存在但無法從頁面資訊確認對應的入數／規格（例如滴雞精禮盒未標示容量），需人工開頁核對。</t>
        </is>
      </c>
    </row>
    <row r="20">
      <c r="B20" s="10" t="inlineStr">
        <is>
          <t>3.「尚未上架」：MOMO／CYBERBIZ 搜尋與 sitemap 都找不到對應商品頁，含全新品項（雙湯組合、VIP 禮品卡、五品牌周邊等）與既有商品的新規格（如茶油剝皮辣椒 3 入）。</t>
        </is>
      </c>
    </row>
    <row r="21">
      <c r="B21" s="10" t="inlineStr">
        <is>
          <t>4. MOMO 目前另有 10 個現售即享券不在附錄1的38項清單內（例如 $799抵$888 舊面額券），詳見「MOMO 現有未列項目」分頁，建議確認是否於 9/19 前下架以免與新券混淆。</t>
        </is>
      </c>
    </row>
    <row r="22">
      <c r="B22" s="10" t="inlineStr">
        <is>
          <t>5. 資料來源：MOMO 以關鍵字「雞湯大叔／賴山嶼／雞湯桑／麵屋一燈」搜尋頁 JSON-LD 直接讀取；CYBERBIZ 以 sitemap.xml 逐頁讀取，皆為 2026-09-14 即時抓取，非附錄提供資料，僅供上架落差比對，實際請以平台後台為準。</t>
        </is>
      </c>
    </row>
    <row r="24">
      <c r="B24" s="11" t="inlineStr">
        <is>
          <t>狀態圖例</t>
        </is>
      </c>
    </row>
    <row r="25">
      <c r="B25" s="12" t="inlineStr">
        <is>
          <t>已上架，售價一致</t>
        </is>
      </c>
      <c r="C25" s="13" t="n"/>
    </row>
    <row r="26">
      <c r="B26" s="14" t="inlineStr">
        <is>
          <t>已上架，售價不符</t>
        </is>
      </c>
      <c r="C26" s="13" t="n"/>
    </row>
    <row r="27">
      <c r="B27" s="15" t="inlineStr">
        <is>
          <t>已上架，規格待確認</t>
        </is>
      </c>
      <c r="C27" s="13" t="n"/>
    </row>
    <row r="28">
      <c r="B28" s="16" t="inlineStr">
        <is>
          <t>尚未上架</t>
        </is>
      </c>
      <c r="C28" s="13" t="n"/>
    </row>
  </sheetData>
  <mergeCells count="15">
    <mergeCell ref="B18:I18"/>
    <mergeCell ref="B21:I21"/>
    <mergeCell ref="B25:C25"/>
    <mergeCell ref="B13:E13"/>
    <mergeCell ref="B16:I16"/>
    <mergeCell ref="B2:I2"/>
    <mergeCell ref="B20:I20"/>
    <mergeCell ref="B28:C28"/>
    <mergeCell ref="B3:I3"/>
    <mergeCell ref="B19:I19"/>
    <mergeCell ref="B14:I14"/>
    <mergeCell ref="B22:I22"/>
    <mergeCell ref="B26:C26"/>
    <mergeCell ref="B27:C27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6" customWidth="1" min="3" max="3"/>
    <col width="10" customWidth="1" min="4" max="4"/>
    <col width="8" customWidth="1" min="5" max="5"/>
    <col width="13" customWidth="1" min="6" max="6"/>
    <col width="16" customWidth="1" min="7" max="7"/>
    <col width="10" customWidth="1" min="8" max="8"/>
    <col width="30" customWidth="1" min="9" max="9"/>
    <col width="34" customWidth="1" min="10" max="10"/>
  </cols>
  <sheetData>
    <row r="1">
      <c r="A1" s="3" t="inlineStr">
        <is>
          <t>MOMO 對比｜依附錄，共 38 項，方案合計 1,518,922 元</t>
        </is>
      </c>
    </row>
    <row r="2">
      <c r="A2" s="17" t="inlineStr">
        <is>
          <t>分類</t>
        </is>
      </c>
      <c r="B2" s="17" t="inlineStr">
        <is>
          <t>商品名稱</t>
        </is>
      </c>
      <c r="C2" s="17" t="inlineStr">
        <is>
          <t>規格</t>
        </is>
      </c>
      <c r="D2" s="17" t="inlineStr">
        <is>
          <t>方案售價</t>
        </is>
      </c>
      <c r="E2" s="17" t="inlineStr">
        <is>
          <t>計畫數量</t>
        </is>
      </c>
      <c r="F2" s="17" t="inlineStr">
        <is>
          <t>銷售預估（元）</t>
        </is>
      </c>
      <c r="G2" s="17" t="inlineStr">
        <is>
          <t>上架狀態</t>
        </is>
      </c>
      <c r="H2" s="17" t="inlineStr">
        <is>
          <t>目前售價</t>
        </is>
      </c>
      <c r="I2" s="17" t="inlineStr">
        <is>
          <t>目前商品位置</t>
        </is>
      </c>
      <c r="J2" s="17" t="inlineStr">
        <is>
          <t>備註</t>
        </is>
      </c>
    </row>
    <row r="3" ht="28" customHeight="1">
      <c r="A3" s="18" t="inlineStr">
        <is>
          <t>VIP禮品卡</t>
        </is>
      </c>
      <c r="B3" s="19" t="inlineStr">
        <is>
          <t>999元VIP禮品卡</t>
        </is>
      </c>
      <c r="C3" s="19" t="inlineStr">
        <is>
          <t>實體卡，面額999元</t>
        </is>
      </c>
      <c r="D3" s="20" t="n">
        <v>999</v>
      </c>
      <c r="E3" s="18" t="n">
        <v>200</v>
      </c>
      <c r="F3" s="20">
        <f>D3*E3</f>
        <v/>
      </c>
      <c r="G3" s="21" t="inlineStr">
        <is>
          <t>尚未上架</t>
        </is>
      </c>
      <c r="H3" s="18" t="n"/>
      <c r="I3" s="19" t="inlineStr">
        <is>
          <t>—</t>
        </is>
      </c>
      <c r="J3" s="19" t="inlineStr"/>
    </row>
    <row r="4" ht="28" customHeight="1">
      <c r="A4" s="18" t="inlineStr">
        <is>
          <t>飲品</t>
        </is>
      </c>
      <c r="B4" s="19" t="inlineStr">
        <is>
          <t>輕百香果氣泡烏龍</t>
        </is>
      </c>
      <c r="C4" s="19" t="inlineStr">
        <is>
          <t>6入</t>
        </is>
      </c>
      <c r="D4" s="20" t="n">
        <v>415</v>
      </c>
      <c r="E4" s="18" t="n">
        <v>80</v>
      </c>
      <c r="F4" s="20">
        <f>D4*E4</f>
        <v/>
      </c>
      <c r="G4" s="21" t="inlineStr">
        <is>
          <t>尚未上架</t>
        </is>
      </c>
      <c r="H4" s="18" t="n"/>
      <c r="I4" s="19" t="inlineStr">
        <is>
          <t>—</t>
        </is>
      </c>
      <c r="J4" s="19" t="inlineStr">
        <is>
          <t>momo 搜尋不到「輕百香果氣泡烏龍」任何商品頁</t>
        </is>
      </c>
    </row>
    <row r="5" ht="28" customHeight="1">
      <c r="A5" s="18" t="inlineStr">
        <is>
          <t>飲品</t>
        </is>
      </c>
      <c r="B5" s="19" t="inlineStr">
        <is>
          <t>輕百香果氣泡烏龍</t>
        </is>
      </c>
      <c r="C5" s="19" t="inlineStr">
        <is>
          <t>12入</t>
        </is>
      </c>
      <c r="D5" s="20" t="n">
        <v>649</v>
      </c>
      <c r="E5" s="18" t="n">
        <v>40</v>
      </c>
      <c r="F5" s="20">
        <f>D5*E5</f>
        <v/>
      </c>
      <c r="G5" s="21" t="inlineStr">
        <is>
          <t>尚未上架</t>
        </is>
      </c>
      <c r="H5" s="18" t="n"/>
      <c r="I5" s="19" t="inlineStr">
        <is>
          <t>—</t>
        </is>
      </c>
      <c r="J5" s="19" t="inlineStr"/>
    </row>
    <row r="6" ht="28" customHeight="1">
      <c r="A6" s="18" t="inlineStr">
        <is>
          <t>飲品</t>
        </is>
      </c>
      <c r="B6" s="19" t="inlineStr">
        <is>
          <t>輕百香果氣泡烏龍</t>
        </is>
      </c>
      <c r="C6" s="19" t="inlineStr">
        <is>
          <t>24入</t>
        </is>
      </c>
      <c r="D6" s="20" t="n">
        <v>1200</v>
      </c>
      <c r="E6" s="18" t="n">
        <v>20</v>
      </c>
      <c r="F6" s="20">
        <f>D6*E6</f>
        <v/>
      </c>
      <c r="G6" s="21" t="inlineStr">
        <is>
          <t>尚未上架</t>
        </is>
      </c>
      <c r="H6" s="18" t="n"/>
      <c r="I6" s="19" t="inlineStr">
        <is>
          <t>—</t>
        </is>
      </c>
      <c r="J6" s="19" t="inlineStr"/>
    </row>
    <row r="7" ht="28" customHeight="1">
      <c r="A7" s="18" t="inlineStr">
        <is>
          <t>飲品</t>
        </is>
      </c>
      <c r="B7" s="19" t="inlineStr">
        <is>
          <t>百香土鳳梨氣泡飲</t>
        </is>
      </c>
      <c r="C7" s="19" t="inlineStr">
        <is>
          <t>6入</t>
        </is>
      </c>
      <c r="D7" s="20" t="n">
        <v>415</v>
      </c>
      <c r="E7" s="18" t="n">
        <v>40</v>
      </c>
      <c r="F7" s="20">
        <f>D7*E7</f>
        <v/>
      </c>
      <c r="G7" s="21" t="inlineStr">
        <is>
          <t>尚未上架</t>
        </is>
      </c>
      <c r="H7" s="18" t="n"/>
      <c r="I7" s="19" t="inlineStr">
        <is>
          <t>—</t>
        </is>
      </c>
      <c r="J7" s="19" t="inlineStr">
        <is>
          <t>momo 搜尋不到「百香土鳳梨氣泡飲」任何商品頁</t>
        </is>
      </c>
    </row>
    <row r="8" ht="28" customHeight="1">
      <c r="A8" s="18" t="inlineStr">
        <is>
          <t>飲品</t>
        </is>
      </c>
      <c r="B8" s="19" t="inlineStr">
        <is>
          <t>百香土鳳梨氣泡飲</t>
        </is>
      </c>
      <c r="C8" s="19" t="inlineStr">
        <is>
          <t>12入</t>
        </is>
      </c>
      <c r="D8" s="20" t="n">
        <v>649</v>
      </c>
      <c r="E8" s="18" t="n">
        <v>20</v>
      </c>
      <c r="F8" s="20">
        <f>D8*E8</f>
        <v/>
      </c>
      <c r="G8" s="21" t="inlineStr">
        <is>
          <t>尚未上架</t>
        </is>
      </c>
      <c r="H8" s="18" t="n"/>
      <c r="I8" s="19" t="inlineStr">
        <is>
          <t>—</t>
        </is>
      </c>
      <c r="J8" s="19" t="inlineStr"/>
    </row>
    <row r="9" ht="28" customHeight="1">
      <c r="A9" s="18" t="inlineStr">
        <is>
          <t>飲品</t>
        </is>
      </c>
      <c r="B9" s="19" t="inlineStr">
        <is>
          <t>百香土鳳梨氣泡飲</t>
        </is>
      </c>
      <c r="C9" s="19" t="inlineStr">
        <is>
          <t>24入</t>
        </is>
      </c>
      <c r="D9" s="20" t="n">
        <v>1200</v>
      </c>
      <c r="E9" s="18" t="n">
        <v>8</v>
      </c>
      <c r="F9" s="20">
        <f>D9*E9</f>
        <v/>
      </c>
      <c r="G9" s="21" t="inlineStr">
        <is>
          <t>尚未上架</t>
        </is>
      </c>
      <c r="H9" s="18" t="n"/>
      <c r="I9" s="19" t="inlineStr">
        <is>
          <t>—</t>
        </is>
      </c>
      <c r="J9" s="19" t="inlineStr"/>
    </row>
    <row r="10" ht="28" customHeight="1">
      <c r="A10" s="18" t="inlineStr">
        <is>
          <t>醬料</t>
        </is>
      </c>
      <c r="B10" s="19" t="inlineStr">
        <is>
          <t>雞湯大叔×賴山嶼 青花椒辣椒醬240g</t>
        </is>
      </c>
      <c r="C10" s="19" t="inlineStr">
        <is>
          <t>1入（僅MOMO）</t>
        </is>
      </c>
      <c r="D10" s="20" t="n">
        <v>330</v>
      </c>
      <c r="E10" s="18" t="n">
        <v>50</v>
      </c>
      <c r="F10" s="20">
        <f>D10*E10</f>
        <v/>
      </c>
      <c r="G10" s="22" t="inlineStr">
        <is>
          <t>已上架，售價一致</t>
        </is>
      </c>
      <c r="H10" s="20" t="n">
        <v>330</v>
      </c>
      <c r="I10" s="19" t="inlineStr">
        <is>
          <t>i_code 15250521</t>
        </is>
      </c>
      <c r="J10" s="19" t="inlineStr"/>
    </row>
    <row r="11" ht="28" customHeight="1">
      <c r="A11" s="18" t="inlineStr">
        <is>
          <t>醬料</t>
        </is>
      </c>
      <c r="B11" s="19" t="inlineStr">
        <is>
          <t>雞湯大叔×賴山嶼 青花椒辣椒醬240g</t>
        </is>
      </c>
      <c r="C11" s="19" t="inlineStr">
        <is>
          <t>2入（僅MOMO）</t>
        </is>
      </c>
      <c r="D11" s="20" t="n">
        <v>650</v>
      </c>
      <c r="E11" s="18" t="n">
        <v>80</v>
      </c>
      <c r="F11" s="20">
        <f>D11*E11</f>
        <v/>
      </c>
      <c r="G11" s="22" t="inlineStr">
        <is>
          <t>已上架，售價一致</t>
        </is>
      </c>
      <c r="H11" s="20" t="n">
        <v>650</v>
      </c>
      <c r="I11" s="19" t="inlineStr">
        <is>
          <t>i_code 15235085</t>
        </is>
      </c>
      <c r="J11" s="19" t="inlineStr"/>
    </row>
    <row r="12" ht="28" customHeight="1">
      <c r="A12" s="18" t="inlineStr">
        <is>
          <t>醬料</t>
        </is>
      </c>
      <c r="B12" s="19" t="inlineStr">
        <is>
          <t>雞湯大叔×賴山嶼 青花椒辣椒醬240g</t>
        </is>
      </c>
      <c r="C12" s="19" t="inlineStr">
        <is>
          <t>3入</t>
        </is>
      </c>
      <c r="D12" s="20" t="n">
        <v>930</v>
      </c>
      <c r="E12" s="18" t="n">
        <v>160</v>
      </c>
      <c r="F12" s="20">
        <f>D12*E12</f>
        <v/>
      </c>
      <c r="G12" s="22" t="inlineStr">
        <is>
          <t>已上架，售價一致</t>
        </is>
      </c>
      <c r="H12" s="20" t="n">
        <v>930</v>
      </c>
      <c r="I12" s="19" t="inlineStr">
        <is>
          <t>i_code 15634154</t>
        </is>
      </c>
      <c r="J12" s="19" t="inlineStr"/>
    </row>
    <row r="13" ht="28" customHeight="1">
      <c r="A13" s="18" t="inlineStr">
        <is>
          <t>醬料</t>
        </is>
      </c>
      <c r="B13" s="19" t="inlineStr">
        <is>
          <t>雞湯大叔×洄瀾醬人 茶油剝皮辣椒240g</t>
        </is>
      </c>
      <c r="C13" s="19" t="inlineStr">
        <is>
          <t>1入（僅MOMO）</t>
        </is>
      </c>
      <c r="D13" s="20" t="n">
        <v>330</v>
      </c>
      <c r="E13" s="18" t="n">
        <v>20</v>
      </c>
      <c r="F13" s="20">
        <f>D13*E13</f>
        <v/>
      </c>
      <c r="G13" s="23" t="inlineStr">
        <is>
          <t>已上架，售價不符</t>
        </is>
      </c>
      <c r="H13" s="20" t="n">
        <v>280</v>
      </c>
      <c r="I13" s="19" t="inlineStr">
        <is>
          <t>i_code 15356778</t>
        </is>
      </c>
      <c r="J13" s="19" t="inlineStr">
        <is>
          <t>現售價比方案少 50 元</t>
        </is>
      </c>
    </row>
    <row r="14" ht="28" customHeight="1">
      <c r="A14" s="18" t="inlineStr">
        <is>
          <t>醬料</t>
        </is>
      </c>
      <c r="B14" s="19" t="inlineStr">
        <is>
          <t>雞湯大叔×洄瀾醬人 茶油剝皮辣椒240g</t>
        </is>
      </c>
      <c r="C14" s="19" t="inlineStr">
        <is>
          <t>2入（僅MOMO）</t>
        </is>
      </c>
      <c r="D14" s="20" t="n">
        <v>650</v>
      </c>
      <c r="E14" s="18" t="n">
        <v>115</v>
      </c>
      <c r="F14" s="20">
        <f>D14*E14</f>
        <v/>
      </c>
      <c r="G14" s="23" t="inlineStr">
        <is>
          <t>已上架，售價不符</t>
        </is>
      </c>
      <c r="H14" s="20" t="n">
        <v>640</v>
      </c>
      <c r="I14" s="19" t="inlineStr">
        <is>
          <t>i_code 15642252</t>
        </is>
      </c>
      <c r="J14" s="19" t="inlineStr">
        <is>
          <t>現售價比方案少 10 元</t>
        </is>
      </c>
    </row>
    <row r="15" ht="28" customHeight="1">
      <c r="A15" s="18" t="inlineStr">
        <is>
          <t>醬料</t>
        </is>
      </c>
      <c r="B15" s="19" t="inlineStr">
        <is>
          <t>雞湯大叔×洄瀾醬人 茶油剝皮辣椒240g</t>
        </is>
      </c>
      <c r="C15" s="19" t="inlineStr">
        <is>
          <t>3入</t>
        </is>
      </c>
      <c r="D15" s="20" t="n">
        <v>930</v>
      </c>
      <c r="E15" s="18" t="n">
        <v>20</v>
      </c>
      <c r="F15" s="20">
        <f>D15*E15</f>
        <v/>
      </c>
      <c r="G15" s="21" t="inlineStr">
        <is>
          <t>尚未上架</t>
        </is>
      </c>
      <c r="H15" s="18" t="n"/>
      <c r="I15" s="19" t="inlineStr">
        <is>
          <t>—</t>
        </is>
      </c>
      <c r="J15" s="19" t="inlineStr">
        <is>
          <t>momo 目前只有 1／2 入，無 3 入商品頁</t>
        </is>
      </c>
    </row>
    <row r="16" ht="28" customHeight="1">
      <c r="A16" s="18" t="inlineStr">
        <is>
          <t>雞精</t>
        </is>
      </c>
      <c r="B16" s="19" t="inlineStr">
        <is>
          <t>快樂雞滴雞精60ml</t>
        </is>
      </c>
      <c r="C16" s="19" t="inlineStr">
        <is>
          <t>10包組</t>
        </is>
      </c>
      <c r="D16" s="20" t="n">
        <v>790</v>
      </c>
      <c r="E16" s="18" t="n">
        <v>40</v>
      </c>
      <c r="F16" s="20">
        <f>D16*E16</f>
        <v/>
      </c>
      <c r="G16" s="22" t="inlineStr">
        <is>
          <t>已上架，售價一致</t>
        </is>
      </c>
      <c r="H16" s="20" t="n">
        <v>790</v>
      </c>
      <c r="I16" s="19" t="inlineStr">
        <is>
          <t>i_code 15414344</t>
        </is>
      </c>
      <c r="J16" s="19" t="inlineStr"/>
    </row>
    <row r="17" ht="28" customHeight="1">
      <c r="A17" s="18" t="inlineStr">
        <is>
          <t>雞精</t>
        </is>
      </c>
      <c r="B17" s="19" t="inlineStr">
        <is>
          <t>快樂雞滴雞精禮盒</t>
        </is>
      </c>
      <c r="C17" s="19" t="inlineStr">
        <is>
          <t>6入（650元為推廣價）</t>
        </is>
      </c>
      <c r="D17" s="20" t="n">
        <v>650</v>
      </c>
      <c r="E17" s="18" t="n">
        <v>80</v>
      </c>
      <c r="F17" s="20">
        <f>D17*E17</f>
        <v/>
      </c>
      <c r="G17" s="22" t="inlineStr">
        <is>
          <t>已上架，售價一致</t>
        </is>
      </c>
      <c r="H17" s="20" t="n">
        <v>650</v>
      </c>
      <c r="I17" s="19" t="inlineStr">
        <is>
          <t>i_code 15127931</t>
        </is>
      </c>
      <c r="J17" s="19" t="inlineStr"/>
    </row>
    <row r="18" ht="28" customHeight="1">
      <c r="A18" s="18" t="inlineStr">
        <is>
          <t>雞湯與禮盒</t>
        </is>
      </c>
      <c r="B18" s="19" t="inlineStr">
        <is>
          <t>蛤蜊雞湯460g</t>
        </is>
      </c>
      <c r="C18" s="19" t="inlineStr">
        <is>
          <t>5包組</t>
        </is>
      </c>
      <c r="D18" s="20" t="n">
        <v>849</v>
      </c>
      <c r="E18" s="18" t="n">
        <v>120</v>
      </c>
      <c r="F18" s="20">
        <f>D18*E18</f>
        <v/>
      </c>
      <c r="G18" s="22" t="inlineStr">
        <is>
          <t>已上架，售價一致</t>
        </is>
      </c>
      <c r="H18" s="20" t="n">
        <v>849</v>
      </c>
      <c r="I18" s="19" t="inlineStr">
        <is>
          <t>i_code 15491916</t>
        </is>
      </c>
      <c r="J18" s="19" t="inlineStr"/>
    </row>
    <row r="19" ht="28" customHeight="1">
      <c r="A19" s="18" t="inlineStr">
        <is>
          <t>雞湯與禮盒</t>
        </is>
      </c>
      <c r="B19" s="19" t="inlineStr">
        <is>
          <t>黑松露牛肝菌雞湯禮盒</t>
        </is>
      </c>
      <c r="C19" s="19" t="inlineStr">
        <is>
          <t>1入（僅MOMO）</t>
        </is>
      </c>
      <c r="D19" s="20" t="n">
        <v>599</v>
      </c>
      <c r="E19" s="18" t="n">
        <v>20</v>
      </c>
      <c r="F19" s="20">
        <f>D19*E19</f>
        <v/>
      </c>
      <c r="G19" s="22" t="inlineStr">
        <is>
          <t>已上架，售價一致</t>
        </is>
      </c>
      <c r="H19" s="20" t="n">
        <v>599</v>
      </c>
      <c r="I19" s="19" t="inlineStr">
        <is>
          <t>i_code 15126499</t>
        </is>
      </c>
      <c r="J19" s="19" t="inlineStr"/>
    </row>
    <row r="20" ht="28" customHeight="1">
      <c r="A20" s="18" t="inlineStr">
        <is>
          <t>雞湯與禮盒</t>
        </is>
      </c>
      <c r="B20" s="19" t="inlineStr">
        <is>
          <t>黑松露牛肝菌雞湯禮盒</t>
        </is>
      </c>
      <c r="C20" s="19" t="inlineStr">
        <is>
          <t>2入</t>
        </is>
      </c>
      <c r="D20" s="20" t="n">
        <v>849</v>
      </c>
      <c r="E20" s="18" t="n">
        <v>40</v>
      </c>
      <c r="F20" s="20">
        <f>D20*E20</f>
        <v/>
      </c>
      <c r="G20" s="22" t="inlineStr">
        <is>
          <t>已上架，售價一致</t>
        </is>
      </c>
      <c r="H20" s="20" t="n">
        <v>849</v>
      </c>
      <c r="I20" s="19" t="inlineStr">
        <is>
          <t>i_code 15474320</t>
        </is>
      </c>
      <c r="J20" s="19" t="inlineStr"/>
    </row>
    <row r="21" ht="28" customHeight="1">
      <c r="A21" s="18" t="inlineStr">
        <is>
          <t>雞湯與禮盒</t>
        </is>
      </c>
      <c r="B21" s="19" t="inlineStr">
        <is>
          <t>椒香成雙禮盒</t>
        </is>
      </c>
      <c r="C21" s="19" t="inlineStr">
        <is>
          <t>青花椒辣椒醬240g×1＋茶油剝皮辣椒240g×1</t>
        </is>
      </c>
      <c r="D21" s="20" t="n">
        <v>799</v>
      </c>
      <c r="E21" s="18" t="n">
        <v>60</v>
      </c>
      <c r="F21" s="20">
        <f>D21*E21</f>
        <v/>
      </c>
      <c r="G21" s="21" t="inlineStr">
        <is>
          <t>尚未上架</t>
        </is>
      </c>
      <c r="H21" s="18" t="n"/>
      <c r="I21" s="19" t="inlineStr">
        <is>
          <t>—</t>
        </is>
      </c>
      <c r="J21" s="19" t="inlineStr"/>
    </row>
    <row r="22" ht="28" customHeight="1">
      <c r="A22" s="18" t="inlineStr">
        <is>
          <t>雞湯與禮盒</t>
        </is>
      </c>
      <c r="B22" s="19" t="inlineStr">
        <is>
          <t>泰鮮雙享組</t>
        </is>
      </c>
      <c r="C22" s="19" t="inlineStr">
        <is>
          <t>蛤蜊雞湯460g×3＋打拋貢丸×2</t>
        </is>
      </c>
      <c r="D22" s="20" t="n">
        <v>888</v>
      </c>
      <c r="E22" s="18" t="n">
        <v>40</v>
      </c>
      <c r="F22" s="20">
        <f>D22*E22</f>
        <v/>
      </c>
      <c r="G22" s="22" t="inlineStr">
        <is>
          <t>已上架，售價一致</t>
        </is>
      </c>
      <c r="H22" s="20" t="n">
        <v>888</v>
      </c>
      <c r="I22" s="19" t="inlineStr">
        <is>
          <t>i_code 15633823</t>
        </is>
      </c>
      <c r="J22" s="19" t="inlineStr"/>
    </row>
    <row r="23" ht="28" customHeight="1">
      <c r="A23" s="18" t="inlineStr">
        <is>
          <t>娘娘聯名</t>
        </is>
      </c>
      <c r="B23" s="19" t="inlineStr">
        <is>
          <t>娘娘聯名打拋貢丸（MOMO）</t>
        </is>
      </c>
      <c r="C23" s="19" t="inlineStr">
        <is>
          <t>4包組</t>
        </is>
      </c>
      <c r="D23" s="20" t="n">
        <v>799</v>
      </c>
      <c r="E23" s="18" t="n">
        <v>200</v>
      </c>
      <c r="F23" s="20">
        <f>D23*E23</f>
        <v/>
      </c>
      <c r="G23" s="22" t="inlineStr">
        <is>
          <t>已上架，售價一致</t>
        </is>
      </c>
      <c r="H23" s="20" t="n">
        <v>799</v>
      </c>
      <c r="I23" s="19" t="inlineStr">
        <is>
          <t>i_code 15540751</t>
        </is>
      </c>
      <c r="J23" s="19" t="inlineStr">
        <is>
          <t>商品頁名稱為「泰度打拋摃丸」</t>
        </is>
      </c>
    </row>
    <row r="24" ht="28" customHeight="1">
      <c r="A24" s="18" t="inlineStr">
        <is>
          <t>娘娘聯名</t>
        </is>
      </c>
      <c r="B24" s="19" t="inlineStr">
        <is>
          <t>娘娘聯名泰Chill打拋豬煎餃</t>
        </is>
      </c>
      <c r="C24" s="19" t="inlineStr">
        <is>
          <t>3包組</t>
        </is>
      </c>
      <c r="D24" s="20" t="n">
        <v>649</v>
      </c>
      <c r="E24" s="18" t="n">
        <v>80</v>
      </c>
      <c r="F24" s="20">
        <f>D24*E24</f>
        <v/>
      </c>
      <c r="G24" s="21" t="inlineStr">
        <is>
          <t>尚未上架</t>
        </is>
      </c>
      <c r="H24" s="18" t="n"/>
      <c r="I24" s="19" t="inlineStr">
        <is>
          <t>—</t>
        </is>
      </c>
      <c r="J24" s="19" t="inlineStr"/>
    </row>
    <row r="25" ht="28" customHeight="1">
      <c r="A25" s="18" t="inlineStr">
        <is>
          <t>娘娘聯名</t>
        </is>
      </c>
      <c r="B25" s="19" t="inlineStr">
        <is>
          <t>娘娘聯名泰Chill打拋豬煎餃</t>
        </is>
      </c>
      <c r="C25" s="19" t="inlineStr">
        <is>
          <t>5包組</t>
        </is>
      </c>
      <c r="D25" s="20" t="n">
        <v>845</v>
      </c>
      <c r="E25" s="18" t="n">
        <v>80</v>
      </c>
      <c r="F25" s="20">
        <f>D25*E25</f>
        <v/>
      </c>
      <c r="G25" s="21" t="inlineStr">
        <is>
          <t>尚未上架</t>
        </is>
      </c>
      <c r="H25" s="18" t="n"/>
      <c r="I25" s="19" t="inlineStr">
        <is>
          <t>—</t>
        </is>
      </c>
      <c r="J25" s="19" t="inlineStr"/>
    </row>
    <row r="26" ht="28" customHeight="1">
      <c r="A26" s="18" t="inlineStr">
        <is>
          <t>娘娘聯名</t>
        </is>
      </c>
      <c r="B26" s="19" t="inlineStr">
        <is>
          <t>娘娘駕到套組</t>
        </is>
      </c>
      <c r="C26" s="19" t="inlineStr">
        <is>
          <t>打拋豬煎餃×2＋打拋貢丸×2</t>
        </is>
      </c>
      <c r="D26" s="20" t="n">
        <v>777</v>
      </c>
      <c r="E26" s="18" t="n">
        <v>40</v>
      </c>
      <c r="F26" s="20">
        <f>D26*E26</f>
        <v/>
      </c>
      <c r="G26" s="21" t="inlineStr">
        <is>
          <t>尚未上架</t>
        </is>
      </c>
      <c r="H26" s="18" t="n"/>
      <c r="I26" s="19" t="inlineStr">
        <is>
          <t>—</t>
        </is>
      </c>
      <c r="J26" s="19" t="inlineStr"/>
    </row>
    <row r="27" ht="28" customHeight="1">
      <c r="A27" s="18" t="inlineStr">
        <is>
          <t>新品雙湯組</t>
        </is>
      </c>
      <c r="B27" s="19" t="inlineStr">
        <is>
          <t>雙湯組合（MOMO）</t>
        </is>
      </c>
      <c r="C27" s="19" t="inlineStr">
        <is>
          <t>御膳花膠×1＋北海道鮮貝×1＋青花椒辣椒醬×1</t>
        </is>
      </c>
      <c r="D27" s="20" t="n">
        <v>666</v>
      </c>
      <c r="E27" s="18" t="n">
        <v>80</v>
      </c>
      <c r="F27" s="20">
        <f>D27*E27</f>
        <v/>
      </c>
      <c r="G27" s="21" t="inlineStr">
        <is>
          <t>尚未上架</t>
        </is>
      </c>
      <c r="H27" s="18" t="n"/>
      <c r="I27" s="19" t="inlineStr">
        <is>
          <t>—</t>
        </is>
      </c>
      <c r="J27" s="19" t="inlineStr">
        <is>
          <t>第三層重點零售商品，直播主打新品</t>
        </is>
      </c>
    </row>
    <row r="28" ht="28" customHeight="1">
      <c r="A28" s="18" t="inlineStr">
        <is>
          <t>新品雙湯組</t>
        </is>
      </c>
      <c r="B28" s="19" t="inlineStr">
        <is>
          <t>雙湯組合（MOMO）</t>
        </is>
      </c>
      <c r="C28" s="19" t="inlineStr">
        <is>
          <t>御膳花膠×2＋北海道鮮貝×2＋青花椒辣椒醬×1</t>
        </is>
      </c>
      <c r="D28" s="20" t="n">
        <v>999</v>
      </c>
      <c r="E28" s="18" t="n">
        <v>40</v>
      </c>
      <c r="F28" s="20">
        <f>D28*E28</f>
        <v/>
      </c>
      <c r="G28" s="21" t="inlineStr">
        <is>
          <t>尚未上架</t>
        </is>
      </c>
      <c r="H28" s="18" t="n"/>
      <c r="I28" s="19" t="inlineStr">
        <is>
          <t>—</t>
        </is>
      </c>
      <c r="J28" s="19" t="inlineStr"/>
    </row>
    <row r="29" ht="28" customHeight="1">
      <c r="A29" s="18" t="inlineStr">
        <is>
          <t>新品雙湯組</t>
        </is>
      </c>
      <c r="B29" s="19" t="inlineStr">
        <is>
          <t>雙湯組合（MOMO）</t>
        </is>
      </c>
      <c r="C29" s="19" t="inlineStr">
        <is>
          <t>御膳花膠×3＋北海道鮮貝×3＋青花椒辣椒醬×1</t>
        </is>
      </c>
      <c r="D29" s="20" t="n">
        <v>1299</v>
      </c>
      <c r="E29" s="18" t="n">
        <v>20</v>
      </c>
      <c r="F29" s="20">
        <f>D29*E29</f>
        <v/>
      </c>
      <c r="G29" s="21" t="inlineStr">
        <is>
          <t>尚未上架</t>
        </is>
      </c>
      <c r="H29" s="18" t="n"/>
      <c r="I29" s="19" t="inlineStr">
        <is>
          <t>—</t>
        </is>
      </c>
      <c r="J29" s="19" t="inlineStr"/>
    </row>
    <row r="30" ht="28" customHeight="1">
      <c r="A30" s="18" t="inlineStr">
        <is>
          <t>Broth &amp; Paws</t>
        </is>
      </c>
      <c r="B30" s="19" t="inlineStr">
        <is>
          <t>Broth &amp; Paws 寵物餐包－蔬果燉雞</t>
        </is>
      </c>
      <c r="C30" s="19" t="inlineStr">
        <is>
          <t>10入</t>
        </is>
      </c>
      <c r="D30" s="20" t="n">
        <v>888</v>
      </c>
      <c r="E30" s="18" t="n">
        <v>20</v>
      </c>
      <c r="F30" s="20">
        <f>D30*E30</f>
        <v/>
      </c>
      <c r="G30" s="21" t="inlineStr">
        <is>
          <t>尚未上架</t>
        </is>
      </c>
      <c r="H30" s="18" t="n"/>
      <c r="I30" s="19" t="inlineStr">
        <is>
          <t>—</t>
        </is>
      </c>
      <c r="J30" s="19" t="inlineStr"/>
    </row>
    <row r="31" ht="28" customHeight="1">
      <c r="A31" s="18" t="inlineStr">
        <is>
          <t>Broth &amp; Paws</t>
        </is>
      </c>
      <c r="B31" s="19" t="inlineStr">
        <is>
          <t>Broth &amp; Paws 寵物餐包（MOMO）</t>
        </is>
      </c>
      <c r="C31" s="19" t="inlineStr">
        <is>
          <t>20入</t>
        </is>
      </c>
      <c r="D31" s="20" t="n">
        <v>1688</v>
      </c>
      <c r="E31" s="18" t="n">
        <v>8</v>
      </c>
      <c r="F31" s="20">
        <f>D31*E31</f>
        <v/>
      </c>
      <c r="G31" s="21" t="inlineStr">
        <is>
          <t>尚未上架</t>
        </is>
      </c>
      <c r="H31" s="18" t="n"/>
      <c r="I31" s="19" t="inlineStr">
        <is>
          <t>—</t>
        </is>
      </c>
      <c r="J31" s="19" t="inlineStr"/>
    </row>
    <row r="32" ht="28" customHeight="1">
      <c r="A32" s="18" t="inlineStr">
        <is>
          <t>Broth &amp; Paws</t>
        </is>
      </c>
      <c r="B32" s="19" t="inlineStr">
        <is>
          <t>Broth &amp; Paws 肉泥條</t>
        </is>
      </c>
      <c r="C32" s="19" t="inlineStr">
        <is>
          <t>10入</t>
        </is>
      </c>
      <c r="D32" s="20" t="n">
        <v>149</v>
      </c>
      <c r="E32" s="18" t="n">
        <v>40</v>
      </c>
      <c r="F32" s="20">
        <f>D32*E32</f>
        <v/>
      </c>
      <c r="G32" s="21" t="inlineStr">
        <is>
          <t>尚未上架</t>
        </is>
      </c>
      <c r="H32" s="18" t="n"/>
      <c r="I32" s="19" t="inlineStr">
        <is>
          <t>—</t>
        </is>
      </c>
      <c r="J32" s="19" t="inlineStr"/>
    </row>
    <row r="33" ht="28" customHeight="1">
      <c r="A33" s="18" t="inlineStr">
        <is>
          <t>Broth &amp; Paws</t>
        </is>
      </c>
      <c r="B33" s="19" t="inlineStr">
        <is>
          <t>Broth &amp; Paws 肉泥條</t>
        </is>
      </c>
      <c r="C33" s="19" t="inlineStr">
        <is>
          <t>20入</t>
        </is>
      </c>
      <c r="D33" s="20" t="n">
        <v>249</v>
      </c>
      <c r="E33" s="18" t="n">
        <v>20</v>
      </c>
      <c r="F33" s="20">
        <f>D33*E33</f>
        <v/>
      </c>
      <c r="G33" s="21" t="inlineStr">
        <is>
          <t>尚未上架</t>
        </is>
      </c>
      <c r="H33" s="18" t="n"/>
      <c r="I33" s="19" t="inlineStr">
        <is>
          <t>—</t>
        </is>
      </c>
      <c r="J33" s="19" t="inlineStr"/>
    </row>
    <row r="34" ht="28" customHeight="1">
      <c r="A34" s="18" t="inlineStr">
        <is>
          <t>Broth &amp; Paws</t>
        </is>
      </c>
      <c r="B34" s="19" t="inlineStr">
        <is>
          <t>安心陪伴組（MOMO）</t>
        </is>
      </c>
      <c r="C34" s="19" t="inlineStr">
        <is>
          <t>寵物餐包10入＋肉泥條10入</t>
        </is>
      </c>
      <c r="D34" s="20" t="n">
        <v>999</v>
      </c>
      <c r="E34" s="18" t="n">
        <v>40</v>
      </c>
      <c r="F34" s="20">
        <f>D34*E34</f>
        <v/>
      </c>
      <c r="G34" s="21" t="inlineStr">
        <is>
          <t>尚未上架</t>
        </is>
      </c>
      <c r="H34" s="18" t="n"/>
      <c r="I34" s="19" t="inlineStr">
        <is>
          <t>—</t>
        </is>
      </c>
      <c r="J34" s="19" t="inlineStr"/>
    </row>
    <row r="35" ht="28" customHeight="1">
      <c r="A35" s="18" t="inlineStr">
        <is>
          <t>周邊商品</t>
        </is>
      </c>
      <c r="B35" s="19" t="inlineStr">
        <is>
          <t>雞湯大叔廚師娃娃</t>
        </is>
      </c>
      <c r="C35" s="19" t="inlineStr">
        <is>
          <t>單品</t>
        </is>
      </c>
      <c r="D35" s="20" t="n">
        <v>199</v>
      </c>
      <c r="E35" s="18" t="n">
        <v>20</v>
      </c>
      <c r="F35" s="20">
        <f>D35*E35</f>
        <v/>
      </c>
      <c r="G35" s="21" t="inlineStr">
        <is>
          <t>尚未上架</t>
        </is>
      </c>
      <c r="H35" s="18" t="n"/>
      <c r="I35" s="19" t="inlineStr">
        <is>
          <t>—</t>
        </is>
      </c>
      <c r="J35" s="19" t="inlineStr"/>
    </row>
    <row r="36" ht="28" customHeight="1">
      <c r="A36" s="18" t="inlineStr">
        <is>
          <t>周邊商品</t>
        </is>
      </c>
      <c r="B36" s="19" t="inlineStr">
        <is>
          <t>雞湯桑娃娃</t>
        </is>
      </c>
      <c r="C36" s="19" t="inlineStr">
        <is>
          <t>單品</t>
        </is>
      </c>
      <c r="D36" s="20" t="n">
        <v>199</v>
      </c>
      <c r="E36" s="18" t="n">
        <v>20</v>
      </c>
      <c r="F36" s="20">
        <f>D36*E36</f>
        <v/>
      </c>
      <c r="G36" s="21" t="inlineStr">
        <is>
          <t>尚未上架</t>
        </is>
      </c>
      <c r="H36" s="18" t="n"/>
      <c r="I36" s="19" t="inlineStr">
        <is>
          <t>—</t>
        </is>
      </c>
      <c r="J36" s="19" t="inlineStr"/>
    </row>
    <row r="37" ht="28" customHeight="1">
      <c r="A37" s="18" t="inlineStr">
        <is>
          <t>周邊商品</t>
        </is>
      </c>
      <c r="B37" s="19" t="inlineStr">
        <is>
          <t>麵屋一燈16週年小夜燈</t>
        </is>
      </c>
      <c r="C37" s="19" t="inlineStr">
        <is>
          <t>單品</t>
        </is>
      </c>
      <c r="D37" s="20" t="n">
        <v>299</v>
      </c>
      <c r="E37" s="18" t="n">
        <v>20</v>
      </c>
      <c r="F37" s="20">
        <f>D37*E37</f>
        <v/>
      </c>
      <c r="G37" s="21" t="inlineStr">
        <is>
          <t>尚未上架</t>
        </is>
      </c>
      <c r="H37" s="18" t="n"/>
      <c r="I37" s="19" t="inlineStr">
        <is>
          <t>—</t>
        </is>
      </c>
      <c r="J37" s="19" t="inlineStr"/>
    </row>
    <row r="38" ht="28" customHeight="1">
      <c r="A38" s="18" t="inlineStr">
        <is>
          <t>周邊商品</t>
        </is>
      </c>
      <c r="B38" s="19" t="inlineStr">
        <is>
          <t>賴山嶼種子盲盒</t>
        </is>
      </c>
      <c r="C38" s="19" t="inlineStr">
        <is>
          <t>單品</t>
        </is>
      </c>
      <c r="D38" s="20" t="n">
        <v>199</v>
      </c>
      <c r="E38" s="18" t="n">
        <v>20</v>
      </c>
      <c r="F38" s="20">
        <f>D38*E38</f>
        <v/>
      </c>
      <c r="G38" s="21" t="inlineStr">
        <is>
          <t>尚未上架</t>
        </is>
      </c>
      <c r="H38" s="18" t="n"/>
      <c r="I38" s="19" t="inlineStr">
        <is>
          <t>—</t>
        </is>
      </c>
      <c r="J38" s="19" t="inlineStr"/>
    </row>
    <row r="39" ht="28" customHeight="1">
      <c r="A39" s="18" t="inlineStr">
        <is>
          <t>周邊商品</t>
        </is>
      </c>
      <c r="B39" s="19" t="inlineStr">
        <is>
          <t>撈王九宮格老火鍋磁鐵</t>
        </is>
      </c>
      <c r="C39" s="19" t="inlineStr">
        <is>
          <t>單品</t>
        </is>
      </c>
      <c r="D39" s="20" t="n">
        <v>149</v>
      </c>
      <c r="E39" s="18" t="n">
        <v>20</v>
      </c>
      <c r="F39" s="20">
        <f>D39*E39</f>
        <v/>
      </c>
      <c r="G39" s="21" t="inlineStr">
        <is>
          <t>尚未上架</t>
        </is>
      </c>
      <c r="H39" s="18" t="n"/>
      <c r="I39" s="19" t="inlineStr">
        <is>
          <t>—</t>
        </is>
      </c>
      <c r="J39" s="19" t="inlineStr"/>
    </row>
    <row r="40" ht="28" customHeight="1">
      <c r="A40" s="18" t="inlineStr">
        <is>
          <t>周邊商品</t>
        </is>
      </c>
      <c r="B40" s="19" t="inlineStr">
        <is>
          <t>五品牌九週年紀念組</t>
        </is>
      </c>
      <c r="C40" s="19" t="inlineStr">
        <is>
          <t>五品牌周邊各1件（共5件）</t>
        </is>
      </c>
      <c r="D40" s="20" t="n">
        <v>999</v>
      </c>
      <c r="E40" s="18" t="n">
        <v>32</v>
      </c>
      <c r="F40" s="20">
        <f>D40*E40</f>
        <v/>
      </c>
      <c r="G40" s="21" t="inlineStr">
        <is>
          <t>尚未上架</t>
        </is>
      </c>
      <c r="H40" s="18" t="n"/>
      <c r="I40" s="19" t="inlineStr">
        <is>
          <t>—</t>
        </is>
      </c>
      <c r="J40" s="19" t="inlineStr"/>
    </row>
    <row r="41">
      <c r="E41" s="24" t="inlineStr">
        <is>
          <t>合計</t>
        </is>
      </c>
      <c r="F41" s="25">
        <f>SUM(F3:F40)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6" customWidth="1" min="3" max="3"/>
    <col width="10" customWidth="1" min="4" max="4"/>
    <col width="8" customWidth="1" min="5" max="5"/>
    <col width="13" customWidth="1" min="6" max="6"/>
    <col width="16" customWidth="1" min="7" max="7"/>
    <col width="10" customWidth="1" min="8" max="8"/>
    <col width="30" customWidth="1" min="9" max="9"/>
    <col width="34" customWidth="1" min="10" max="10"/>
  </cols>
  <sheetData>
    <row r="1">
      <c r="A1" s="3" t="inlineStr">
        <is>
          <t>CYBERBIZ 對比｜依附錄，共 36 項，方案合計 366,957 元</t>
        </is>
      </c>
    </row>
    <row r="2">
      <c r="A2" s="17" t="inlineStr">
        <is>
          <t>分類</t>
        </is>
      </c>
      <c r="B2" s="17" t="inlineStr">
        <is>
          <t>商品名稱</t>
        </is>
      </c>
      <c r="C2" s="17" t="inlineStr">
        <is>
          <t>規格</t>
        </is>
      </c>
      <c r="D2" s="17" t="inlineStr">
        <is>
          <t>方案售價</t>
        </is>
      </c>
      <c r="E2" s="17" t="inlineStr">
        <is>
          <t>計畫數量</t>
        </is>
      </c>
      <c r="F2" s="17" t="inlineStr">
        <is>
          <t>銷售預估（元）</t>
        </is>
      </c>
      <c r="G2" s="17" t="inlineStr">
        <is>
          <t>上架狀態</t>
        </is>
      </c>
      <c r="H2" s="17" t="inlineStr">
        <is>
          <t>目前售價</t>
        </is>
      </c>
      <c r="I2" s="17" t="inlineStr">
        <is>
          <t>目前商品位置</t>
        </is>
      </c>
      <c r="J2" s="17" t="inlineStr">
        <is>
          <t>備註</t>
        </is>
      </c>
    </row>
    <row r="3" ht="28" customHeight="1">
      <c r="A3" s="18" t="inlineStr">
        <is>
          <t>VIP禮品卡</t>
        </is>
      </c>
      <c r="B3" s="19" t="inlineStr">
        <is>
          <t>999元VIP禮品卡</t>
        </is>
      </c>
      <c r="C3" s="19" t="inlineStr">
        <is>
          <t>實體卡，面額999元</t>
        </is>
      </c>
      <c r="D3" s="20" t="n">
        <v>999</v>
      </c>
      <c r="E3" s="18" t="n">
        <v>50</v>
      </c>
      <c r="F3" s="20">
        <f>D3*E3</f>
        <v/>
      </c>
      <c r="G3" s="21" t="inlineStr">
        <is>
          <t>尚未上架</t>
        </is>
      </c>
      <c r="H3" s="18" t="n"/>
      <c r="I3" s="19" t="inlineStr">
        <is>
          <t>—</t>
        </is>
      </c>
      <c r="J3" s="19" t="inlineStr"/>
    </row>
    <row r="4" ht="28" customHeight="1">
      <c r="A4" s="18" t="inlineStr">
        <is>
          <t>飲品</t>
        </is>
      </c>
      <c r="B4" s="19" t="inlineStr">
        <is>
          <t>輕百香果氣泡烏龍</t>
        </is>
      </c>
      <c r="C4" s="19" t="inlineStr">
        <is>
          <t>6入</t>
        </is>
      </c>
      <c r="D4" s="20" t="n">
        <v>415</v>
      </c>
      <c r="E4" s="18" t="n">
        <v>20</v>
      </c>
      <c r="F4" s="20">
        <f>D4*E4</f>
        <v/>
      </c>
      <c r="G4" s="21" t="inlineStr">
        <is>
          <t>尚未上架</t>
        </is>
      </c>
      <c r="H4" s="18" t="n"/>
      <c r="I4" s="19" t="inlineStr">
        <is>
          <t>—</t>
        </is>
      </c>
      <c r="J4" s="19" t="inlineStr">
        <is>
          <t>CYBERBIZ 搜尋不到「輕百香果氣泡烏龍」任何商品頁</t>
        </is>
      </c>
    </row>
    <row r="5" ht="28" customHeight="1">
      <c r="A5" s="18" t="inlineStr">
        <is>
          <t>飲品</t>
        </is>
      </c>
      <c r="B5" s="19" t="inlineStr">
        <is>
          <t>輕百香果氣泡烏龍</t>
        </is>
      </c>
      <c r="C5" s="19" t="inlineStr">
        <is>
          <t>12入</t>
        </is>
      </c>
      <c r="D5" s="20" t="n">
        <v>649</v>
      </c>
      <c r="E5" s="18" t="n">
        <v>10</v>
      </c>
      <c r="F5" s="20">
        <f>D5*E5</f>
        <v/>
      </c>
      <c r="G5" s="21" t="inlineStr">
        <is>
          <t>尚未上架</t>
        </is>
      </c>
      <c r="H5" s="18" t="n"/>
      <c r="I5" s="19" t="inlineStr">
        <is>
          <t>—</t>
        </is>
      </c>
      <c r="J5" s="19" t="inlineStr"/>
    </row>
    <row r="6" ht="28" customHeight="1">
      <c r="A6" s="18" t="inlineStr">
        <is>
          <t>飲品</t>
        </is>
      </c>
      <c r="B6" s="19" t="inlineStr">
        <is>
          <t>輕百香果氣泡烏龍</t>
        </is>
      </c>
      <c r="C6" s="19" t="inlineStr">
        <is>
          <t>24入</t>
        </is>
      </c>
      <c r="D6" s="20" t="n">
        <v>1200</v>
      </c>
      <c r="E6" s="18" t="n">
        <v>5</v>
      </c>
      <c r="F6" s="20">
        <f>D6*E6</f>
        <v/>
      </c>
      <c r="G6" s="21" t="inlineStr">
        <is>
          <t>尚未上架</t>
        </is>
      </c>
      <c r="H6" s="18" t="n"/>
      <c r="I6" s="19" t="inlineStr">
        <is>
          <t>—</t>
        </is>
      </c>
      <c r="J6" s="19" t="inlineStr"/>
    </row>
    <row r="7" ht="28" customHeight="1">
      <c r="A7" s="18" t="inlineStr">
        <is>
          <t>飲品</t>
        </is>
      </c>
      <c r="B7" s="19" t="inlineStr">
        <is>
          <t>百香土鳳梨氣泡飲</t>
        </is>
      </c>
      <c r="C7" s="19" t="inlineStr">
        <is>
          <t>6入</t>
        </is>
      </c>
      <c r="D7" s="20" t="n">
        <v>415</v>
      </c>
      <c r="E7" s="18" t="n">
        <v>10</v>
      </c>
      <c r="F7" s="20">
        <f>D7*E7</f>
        <v/>
      </c>
      <c r="G7" s="22" t="inlineStr">
        <is>
          <t>已上架，售價一致</t>
        </is>
      </c>
      <c r="H7" s="20" t="n">
        <v>415</v>
      </c>
      <c r="I7" s="19" t="inlineStr">
        <is>
          <t>/products/百香土鳳梨氣泡飲</t>
        </is>
      </c>
      <c r="J7" s="19" t="inlineStr"/>
    </row>
    <row r="8" ht="28" customHeight="1">
      <c r="A8" s="18" t="inlineStr">
        <is>
          <t>飲品</t>
        </is>
      </c>
      <c r="B8" s="19" t="inlineStr">
        <is>
          <t>百香土鳳梨氣泡飲</t>
        </is>
      </c>
      <c r="C8" s="19" t="inlineStr">
        <is>
          <t>12入</t>
        </is>
      </c>
      <c r="D8" s="20" t="n">
        <v>649</v>
      </c>
      <c r="E8" s="18" t="n">
        <v>5</v>
      </c>
      <c r="F8" s="20">
        <f>D8*E8</f>
        <v/>
      </c>
      <c r="G8" s="21" t="inlineStr">
        <is>
          <t>尚未上架</t>
        </is>
      </c>
      <c r="H8" s="18" t="n"/>
      <c r="I8" s="19" t="inlineStr">
        <is>
          <t>—</t>
        </is>
      </c>
      <c r="J8" s="19" t="inlineStr">
        <is>
          <t>只有 6 入與 24 入兩個商品頁，沒有 12 入</t>
        </is>
      </c>
    </row>
    <row r="9" ht="28" customHeight="1">
      <c r="A9" s="18" t="inlineStr">
        <is>
          <t>飲品</t>
        </is>
      </c>
      <c r="B9" s="19" t="inlineStr">
        <is>
          <t>百香土鳳梨氣泡飲</t>
        </is>
      </c>
      <c r="C9" s="19" t="inlineStr">
        <is>
          <t>24入</t>
        </is>
      </c>
      <c r="D9" s="20" t="n">
        <v>1200</v>
      </c>
      <c r="E9" s="18" t="n">
        <v>2</v>
      </c>
      <c r="F9" s="20">
        <f>D9*E9</f>
        <v/>
      </c>
      <c r="G9" s="23" t="inlineStr">
        <is>
          <t>已上架，售價不符</t>
        </is>
      </c>
      <c r="H9" s="20" t="n">
        <v>1650</v>
      </c>
      <c r="I9" s="19" t="inlineStr">
        <is>
          <t>/products/百香土鳳梨氣泡飲-賴山嶼</t>
        </is>
      </c>
      <c r="J9" s="19" t="inlineStr">
        <is>
          <t>現售價比方案貴 450 元</t>
        </is>
      </c>
    </row>
    <row r="10" ht="28" customHeight="1">
      <c r="A10" s="18" t="inlineStr">
        <is>
          <t>飲品</t>
        </is>
      </c>
      <c r="B10" s="19" t="inlineStr">
        <is>
          <t>翡翠檸檬康普氣泡茶</t>
        </is>
      </c>
      <c r="C10" s="19" t="inlineStr">
        <is>
          <t>3入（僅CYBERBIZ）</t>
        </is>
      </c>
      <c r="D10" s="20" t="n">
        <v>269</v>
      </c>
      <c r="E10" s="18" t="n">
        <v>40</v>
      </c>
      <c r="F10" s="20">
        <f>D10*E10</f>
        <v/>
      </c>
      <c r="G10" s="22" t="inlineStr">
        <is>
          <t>已上架，售價一致</t>
        </is>
      </c>
      <c r="H10" s="20" t="n">
        <v>269</v>
      </c>
      <c r="I10" s="19" t="inlineStr">
        <is>
          <t>/products/雞湯大叔xkai_翡翠檸檬康普氣泡茶</t>
        </is>
      </c>
      <c r="J10" s="19" t="inlineStr">
        <is>
          <t>同一商品頁含 3／6／8 入三種容量選項</t>
        </is>
      </c>
    </row>
    <row r="11" ht="28" customHeight="1">
      <c r="A11" s="18" t="inlineStr">
        <is>
          <t>飲品</t>
        </is>
      </c>
      <c r="B11" s="19" t="inlineStr">
        <is>
          <t>翡翠檸檬康普氣泡茶</t>
        </is>
      </c>
      <c r="C11" s="19" t="inlineStr">
        <is>
          <t>6入（僅CYBERBIZ）</t>
        </is>
      </c>
      <c r="D11" s="20" t="n">
        <v>510</v>
      </c>
      <c r="E11" s="18" t="n">
        <v>30</v>
      </c>
      <c r="F11" s="20">
        <f>D11*E11</f>
        <v/>
      </c>
      <c r="G11" s="22" t="inlineStr">
        <is>
          <t>已上架，售價一致</t>
        </is>
      </c>
      <c r="H11" s="20" t="n">
        <v>510</v>
      </c>
      <c r="I11" s="19" t="inlineStr">
        <is>
          <t>/products/雞湯大叔xkai_翡翠檸檬康普氣泡茶</t>
        </is>
      </c>
      <c r="J11" s="19" t="inlineStr"/>
    </row>
    <row r="12" ht="28" customHeight="1">
      <c r="A12" s="18" t="inlineStr">
        <is>
          <t>飲品</t>
        </is>
      </c>
      <c r="B12" s="19" t="inlineStr">
        <is>
          <t>翡翠檸檬康普氣泡茶</t>
        </is>
      </c>
      <c r="C12" s="19" t="inlineStr">
        <is>
          <t>8入（僅CYBERBIZ）</t>
        </is>
      </c>
      <c r="D12" s="20" t="n">
        <v>640</v>
      </c>
      <c r="E12" s="18" t="n">
        <v>20</v>
      </c>
      <c r="F12" s="20">
        <f>D12*E12</f>
        <v/>
      </c>
      <c r="G12" s="22" t="inlineStr">
        <is>
          <t>已上架，售價一致</t>
        </is>
      </c>
      <c r="H12" s="20" t="n">
        <v>640</v>
      </c>
      <c r="I12" s="19" t="inlineStr">
        <is>
          <t>/products/雞湯大叔xkai_翡翠檸檬康普氣泡茶</t>
        </is>
      </c>
      <c r="J12" s="19" t="inlineStr"/>
    </row>
    <row r="13" ht="28" customHeight="1">
      <c r="A13" s="18" t="inlineStr">
        <is>
          <t>醬料</t>
        </is>
      </c>
      <c r="B13" s="19" t="inlineStr">
        <is>
          <t>雞湯大叔×賴山嶼 青花椒辣椒醬240g</t>
        </is>
      </c>
      <c r="C13" s="19" t="inlineStr">
        <is>
          <t>3入</t>
        </is>
      </c>
      <c r="D13" s="20" t="n">
        <v>930</v>
      </c>
      <c r="E13" s="18" t="n">
        <v>40</v>
      </c>
      <c r="F13" s="20">
        <f>D13*E13</f>
        <v/>
      </c>
      <c r="G13" s="23" t="inlineStr">
        <is>
          <t>已上架，售價不符</t>
        </is>
      </c>
      <c r="H13" s="20" t="n">
        <v>899</v>
      </c>
      <c r="I13" s="19" t="inlineStr">
        <is>
          <t>/products/青花椒辣醬3入</t>
        </is>
      </c>
      <c r="J13" s="19" t="inlineStr">
        <is>
          <t>現售價比方案少 31 元</t>
        </is>
      </c>
    </row>
    <row r="14" ht="28" customHeight="1">
      <c r="A14" s="18" t="inlineStr">
        <is>
          <t>醬料</t>
        </is>
      </c>
      <c r="B14" s="19" t="inlineStr">
        <is>
          <t>雞湯大叔×洄瀾醬人 茶油剝皮辣椒240g</t>
        </is>
      </c>
      <c r="C14" s="19" t="inlineStr">
        <is>
          <t>3入</t>
        </is>
      </c>
      <c r="D14" s="20" t="n">
        <v>930</v>
      </c>
      <c r="E14" s="18" t="n">
        <v>5</v>
      </c>
      <c r="F14" s="20">
        <f>D14*E14</f>
        <v/>
      </c>
      <c r="G14" s="23" t="inlineStr">
        <is>
          <t>已上架，售價不符</t>
        </is>
      </c>
      <c r="H14" s="20" t="n">
        <v>960</v>
      </c>
      <c r="I14" s="19" t="inlineStr">
        <is>
          <t>/products/茶油剝皮辣椒</t>
        </is>
      </c>
      <c r="J14" s="19" t="inlineStr">
        <is>
          <t>現售價比方案貴 30 元；同頁另賣 1入$390、2入$699，這兩規格依方案應為「僅MOMO」專屬，需確認是否要下架</t>
        </is>
      </c>
    </row>
    <row r="15" ht="28" customHeight="1">
      <c r="A15" s="18" t="inlineStr">
        <is>
          <t>雞精</t>
        </is>
      </c>
      <c r="B15" s="19" t="inlineStr">
        <is>
          <t>快樂雞滴雞精60ml</t>
        </is>
      </c>
      <c r="C15" s="19" t="inlineStr">
        <is>
          <t>10包組</t>
        </is>
      </c>
      <c r="D15" s="20" t="n">
        <v>790</v>
      </c>
      <c r="E15" s="18" t="n">
        <v>10</v>
      </c>
      <c r="F15" s="20">
        <f>D15*E15</f>
        <v/>
      </c>
      <c r="G15" s="26" t="inlineStr">
        <is>
          <t>已上架，規格待確認</t>
        </is>
      </c>
      <c r="H15" s="20" t="n">
        <v>990</v>
      </c>
      <c r="I15" s="19" t="inlineStr">
        <is>
          <t>/products/滴雞精禮盒</t>
        </is>
      </c>
      <c r="J15" s="19" t="inlineStr">
        <is>
          <t>CYBERBIZ 只有「雞湯大叔快樂雞滴雞精」一個商品頁、現價 990 元，未標示是 60ml 或禮盒規格，與方案兩個品項的售價都對不上，需人工核對規格</t>
        </is>
      </c>
    </row>
    <row r="16" ht="28" customHeight="1">
      <c r="A16" s="18" t="inlineStr">
        <is>
          <t>雞精</t>
        </is>
      </c>
      <c r="B16" s="19" t="inlineStr">
        <is>
          <t>快樂雞滴雞精禮盒</t>
        </is>
      </c>
      <c r="C16" s="19" t="inlineStr">
        <is>
          <t>6入（650元為推廣價）</t>
        </is>
      </c>
      <c r="D16" s="20" t="n">
        <v>650</v>
      </c>
      <c r="E16" s="18" t="n">
        <v>20</v>
      </c>
      <c r="F16" s="20">
        <f>D16*E16</f>
        <v/>
      </c>
      <c r="G16" s="26" t="inlineStr">
        <is>
          <t>已上架，規格待確認</t>
        </is>
      </c>
      <c r="H16" s="20" t="n">
        <v>990</v>
      </c>
      <c r="I16" s="19" t="inlineStr">
        <is>
          <t>/products/滴雞精禮盒</t>
        </is>
      </c>
      <c r="J16" s="19" t="inlineStr">
        <is>
          <t>同上，可能與上一列是同一商品頁</t>
        </is>
      </c>
    </row>
    <row r="17" ht="28" customHeight="1">
      <c r="A17" s="18" t="inlineStr">
        <is>
          <t>雞湯與禮盒</t>
        </is>
      </c>
      <c r="B17" s="19" t="inlineStr">
        <is>
          <t>蛤蜊雞湯460g</t>
        </is>
      </c>
      <c r="C17" s="19" t="inlineStr">
        <is>
          <t>5包組</t>
        </is>
      </c>
      <c r="D17" s="20" t="n">
        <v>849</v>
      </c>
      <c r="E17" s="18" t="n">
        <v>30</v>
      </c>
      <c r="F17" s="20">
        <f>D17*E17</f>
        <v/>
      </c>
      <c r="G17" s="23" t="inlineStr">
        <is>
          <t>已上架，售價不符</t>
        </is>
      </c>
      <c r="H17" s="20" t="n">
        <v>999</v>
      </c>
      <c r="I17" s="19" t="inlineStr">
        <is>
          <t>/products/蛤蜊雞湯</t>
        </is>
      </c>
      <c r="J17" s="19" t="inlineStr">
        <is>
          <t>現售價比方案貴 150 元</t>
        </is>
      </c>
    </row>
    <row r="18" ht="28" customHeight="1">
      <c r="A18" s="18" t="inlineStr">
        <is>
          <t>雞湯與禮盒</t>
        </is>
      </c>
      <c r="B18" s="19" t="inlineStr">
        <is>
          <t>黑松露牛肝菌雞湯禮盒</t>
        </is>
      </c>
      <c r="C18" s="19" t="inlineStr">
        <is>
          <t>2入</t>
        </is>
      </c>
      <c r="D18" s="20" t="n">
        <v>849</v>
      </c>
      <c r="E18" s="18" t="n">
        <v>10</v>
      </c>
      <c r="F18" s="20">
        <f>D18*E18</f>
        <v/>
      </c>
      <c r="G18" s="23" t="inlineStr">
        <is>
          <t>已上架，售價不符</t>
        </is>
      </c>
      <c r="H18" s="20" t="n">
        <v>999</v>
      </c>
      <c r="I18" s="19" t="inlineStr">
        <is>
          <t>/products/松露雞湯禮盒</t>
        </is>
      </c>
      <c r="J18" s="19" t="inlineStr">
        <is>
          <t>現售價比方案貴 150 元</t>
        </is>
      </c>
    </row>
    <row r="19" ht="28" customHeight="1">
      <c r="A19" s="18" t="inlineStr">
        <is>
          <t>雞湯與禮盒</t>
        </is>
      </c>
      <c r="B19" s="19" t="inlineStr">
        <is>
          <t>椒香成雙禮盒</t>
        </is>
      </c>
      <c r="C19" s="19" t="inlineStr">
        <is>
          <t>青花椒辣椒醬240g×1＋茶油剝皮辣椒240g×1</t>
        </is>
      </c>
      <c r="D19" s="20" t="n">
        <v>799</v>
      </c>
      <c r="E19" s="18" t="n">
        <v>15</v>
      </c>
      <c r="F19" s="20">
        <f>D19*E19</f>
        <v/>
      </c>
      <c r="G19" s="23" t="inlineStr">
        <is>
          <t>已上架，售價不符</t>
        </is>
      </c>
      <c r="H19" s="20" t="n">
        <v>1099</v>
      </c>
      <c r="I19" s="19" t="inlineStr">
        <is>
          <t>/products/經典限定椒香成雙禮盒-內含青花椒辣醬茶油剝皮辣椒各1瓶</t>
        </is>
      </c>
      <c r="J19" s="19" t="inlineStr">
        <is>
          <t>現售價比方案貴 300 元</t>
        </is>
      </c>
    </row>
    <row r="20" ht="28" customHeight="1">
      <c r="A20" s="18" t="inlineStr">
        <is>
          <t>雞湯與禮盒</t>
        </is>
      </c>
      <c r="B20" s="19" t="inlineStr">
        <is>
          <t>泰鮮雙享組</t>
        </is>
      </c>
      <c r="C20" s="19" t="inlineStr">
        <is>
          <t>蛤蜊雞湯460g×3＋打拋貢丸×2</t>
        </is>
      </c>
      <c r="D20" s="20" t="n">
        <v>888</v>
      </c>
      <c r="E20" s="18" t="n">
        <v>10</v>
      </c>
      <c r="F20" s="20">
        <f>D20*E20</f>
        <v/>
      </c>
      <c r="G20" s="21" t="inlineStr">
        <is>
          <t>尚未上架</t>
        </is>
      </c>
      <c r="H20" s="18" t="n"/>
      <c r="I20" s="19" t="inlineStr">
        <is>
          <t>—</t>
        </is>
      </c>
      <c r="J20" s="19" t="inlineStr"/>
    </row>
    <row r="21" ht="28" customHeight="1">
      <c r="A21" s="18" t="inlineStr">
        <is>
          <t>娘娘聯名</t>
        </is>
      </c>
      <c r="B21" s="19" t="inlineStr">
        <is>
          <t>娘娘聯名打拋貢丸（CYBERBIZ）</t>
        </is>
      </c>
      <c r="C21" s="19" t="inlineStr">
        <is>
          <t>3包組</t>
        </is>
      </c>
      <c r="D21" s="20" t="n">
        <v>630</v>
      </c>
      <c r="E21" s="18" t="n">
        <v>50</v>
      </c>
      <c r="F21" s="20">
        <f>D21*E21</f>
        <v/>
      </c>
      <c r="G21" s="22" t="inlineStr">
        <is>
          <t>已上架，售價一致</t>
        </is>
      </c>
      <c r="H21" s="20" t="n">
        <v>630</v>
      </c>
      <c r="I21" s="19" t="inlineStr">
        <is>
          <t>/products/泰度打拋摃丸</t>
        </is>
      </c>
      <c r="J21" s="19" t="inlineStr"/>
    </row>
    <row r="22" ht="28" customHeight="1">
      <c r="A22" s="18" t="inlineStr">
        <is>
          <t>娘娘聯名</t>
        </is>
      </c>
      <c r="B22" s="19" t="inlineStr">
        <is>
          <t>娘娘聯名泰Chill打拋豬煎餃</t>
        </is>
      </c>
      <c r="C22" s="19" t="inlineStr">
        <is>
          <t>3包組</t>
        </is>
      </c>
      <c r="D22" s="20" t="n">
        <v>649</v>
      </c>
      <c r="E22" s="18" t="n">
        <v>20</v>
      </c>
      <c r="F22" s="20">
        <f>D22*E22</f>
        <v/>
      </c>
      <c r="G22" s="21" t="inlineStr">
        <is>
          <t>尚未上架</t>
        </is>
      </c>
      <c r="H22" s="18" t="n"/>
      <c r="I22" s="19" t="inlineStr">
        <is>
          <t>—</t>
        </is>
      </c>
      <c r="J22" s="19" t="inlineStr"/>
    </row>
    <row r="23" ht="28" customHeight="1">
      <c r="A23" s="18" t="inlineStr">
        <is>
          <t>娘娘聯名</t>
        </is>
      </c>
      <c r="B23" s="19" t="inlineStr">
        <is>
          <t>娘娘聯名泰Chill打拋豬煎餃</t>
        </is>
      </c>
      <c r="C23" s="19" t="inlineStr">
        <is>
          <t>5包組</t>
        </is>
      </c>
      <c r="D23" s="20" t="n">
        <v>845</v>
      </c>
      <c r="E23" s="18" t="n">
        <v>20</v>
      </c>
      <c r="F23" s="20">
        <f>D23*E23</f>
        <v/>
      </c>
      <c r="G23" s="21" t="inlineStr">
        <is>
          <t>尚未上架</t>
        </is>
      </c>
      <c r="H23" s="18" t="n"/>
      <c r="I23" s="19" t="inlineStr">
        <is>
          <t>—</t>
        </is>
      </c>
      <c r="J23" s="19" t="inlineStr"/>
    </row>
    <row r="24" ht="28" customHeight="1">
      <c r="A24" s="18" t="inlineStr">
        <is>
          <t>娘娘聯名</t>
        </is>
      </c>
      <c r="B24" s="19" t="inlineStr">
        <is>
          <t>娘娘駕到套組</t>
        </is>
      </c>
      <c r="C24" s="19" t="inlineStr">
        <is>
          <t>打拋豬煎餃×2＋打拋貢丸×2</t>
        </is>
      </c>
      <c r="D24" s="20" t="n">
        <v>777</v>
      </c>
      <c r="E24" s="18" t="n">
        <v>10</v>
      </c>
      <c r="F24" s="20">
        <f>D24*E24</f>
        <v/>
      </c>
      <c r="G24" s="21" t="inlineStr">
        <is>
          <t>尚未上架</t>
        </is>
      </c>
      <c r="H24" s="18" t="n"/>
      <c r="I24" s="19" t="inlineStr">
        <is>
          <t>—</t>
        </is>
      </c>
      <c r="J24" s="19" t="inlineStr"/>
    </row>
    <row r="25" ht="28" customHeight="1">
      <c r="A25" s="18" t="inlineStr">
        <is>
          <t>新品雙湯組</t>
        </is>
      </c>
      <c r="B25" s="19" t="inlineStr">
        <is>
          <t>雙湯組合（CYBERBIZ）</t>
        </is>
      </c>
      <c r="C25" s="19" t="inlineStr">
        <is>
          <t>御膳花膠×1＋北海道鮮貝×1＋輕百香果氣泡烏龍×2</t>
        </is>
      </c>
      <c r="D25" s="20" t="n">
        <v>499</v>
      </c>
      <c r="E25" s="18" t="n">
        <v>20</v>
      </c>
      <c r="F25" s="20">
        <f>D25*E25</f>
        <v/>
      </c>
      <c r="G25" s="21" t="inlineStr">
        <is>
          <t>尚未上架</t>
        </is>
      </c>
      <c r="H25" s="18" t="n"/>
      <c r="I25" s="19" t="inlineStr">
        <is>
          <t>—</t>
        </is>
      </c>
      <c r="J25" s="19" t="inlineStr">
        <is>
          <t>第三層重點零售商品，直播主打新品</t>
        </is>
      </c>
    </row>
    <row r="26" ht="28" customHeight="1">
      <c r="A26" s="18" t="inlineStr">
        <is>
          <t>新品雙湯組</t>
        </is>
      </c>
      <c r="B26" s="19" t="inlineStr">
        <is>
          <t>雙湯組合（CYBERBIZ）</t>
        </is>
      </c>
      <c r="C26" s="19" t="inlineStr">
        <is>
          <t>御膳花膠×2＋北海道鮮貝×2＋輕百香果氣泡烏龍×4</t>
        </is>
      </c>
      <c r="D26" s="20" t="n">
        <v>950</v>
      </c>
      <c r="E26" s="18" t="n">
        <v>10</v>
      </c>
      <c r="F26" s="20">
        <f>D26*E26</f>
        <v/>
      </c>
      <c r="G26" s="21" t="inlineStr">
        <is>
          <t>尚未上架</t>
        </is>
      </c>
      <c r="H26" s="18" t="n"/>
      <c r="I26" s="19" t="inlineStr">
        <is>
          <t>—</t>
        </is>
      </c>
      <c r="J26" s="19" t="inlineStr"/>
    </row>
    <row r="27" ht="28" customHeight="1">
      <c r="A27" s="18" t="inlineStr">
        <is>
          <t>新品雙湯組</t>
        </is>
      </c>
      <c r="B27" s="19" t="inlineStr">
        <is>
          <t>雙湯組合（CYBERBIZ）</t>
        </is>
      </c>
      <c r="C27" s="19" t="inlineStr">
        <is>
          <t>御膳花膠×3＋北海道鮮貝×3＋輕百香果氣泡烏龍×6</t>
        </is>
      </c>
      <c r="D27" s="20" t="n">
        <v>1399</v>
      </c>
      <c r="E27" s="18" t="n">
        <v>5</v>
      </c>
      <c r="F27" s="20">
        <f>D27*E27</f>
        <v/>
      </c>
      <c r="G27" s="21" t="inlineStr">
        <is>
          <t>尚未上架</t>
        </is>
      </c>
      <c r="H27" s="18" t="n"/>
      <c r="I27" s="19" t="inlineStr">
        <is>
          <t>—</t>
        </is>
      </c>
      <c r="J27" s="19" t="inlineStr"/>
    </row>
    <row r="28" ht="28" customHeight="1">
      <c r="A28" s="18" t="inlineStr">
        <is>
          <t>Broth &amp; Paws</t>
        </is>
      </c>
      <c r="B28" s="19" t="inlineStr">
        <is>
          <t>Broth &amp; Paws 寵物餐包－蔬果燉雞</t>
        </is>
      </c>
      <c r="C28" s="19" t="inlineStr">
        <is>
          <t>10入</t>
        </is>
      </c>
      <c r="D28" s="20" t="n">
        <v>888</v>
      </c>
      <c r="E28" s="18" t="n">
        <v>5</v>
      </c>
      <c r="F28" s="20">
        <f>D28*E28</f>
        <v/>
      </c>
      <c r="G28" s="23" t="inlineStr">
        <is>
          <t>已上架，售價不符</t>
        </is>
      </c>
      <c r="H28" s="20" t="n">
        <v>750</v>
      </c>
      <c r="I28" s="19" t="inlineStr">
        <is>
          <t>/products/爪爪兄弟餐包-蔬果燉雞-狗狗主食餐包</t>
        </is>
      </c>
      <c r="J28" s="19" t="inlineStr">
        <is>
          <t>現售價比方案少 138 元；sitemap.xml 網址已失效，正確網址多了「-狗狗主食餐包」</t>
        </is>
      </c>
    </row>
    <row r="29" ht="28" customHeight="1">
      <c r="A29" s="18" t="inlineStr">
        <is>
          <t>Broth &amp; Paws</t>
        </is>
      </c>
      <c r="B29" s="19" t="inlineStr">
        <is>
          <t>Broth &amp; Paws 寵物餐包（CYBERBIZ）</t>
        </is>
      </c>
      <c r="C29" s="19" t="inlineStr">
        <is>
          <t>20入</t>
        </is>
      </c>
      <c r="D29" s="20" t="n">
        <v>1490</v>
      </c>
      <c r="E29" s="18" t="n">
        <v>2</v>
      </c>
      <c r="F29" s="20">
        <f>D29*E29</f>
        <v/>
      </c>
      <c r="G29" s="23" t="inlineStr">
        <is>
          <t>已上架，售價不符</t>
        </is>
      </c>
      <c r="H29" s="20" t="n">
        <v>1450</v>
      </c>
      <c r="I29" s="19" t="inlineStr">
        <is>
          <t>/products/爪爪兄弟餐包-蔬果燉雞-狗狗主食餐包</t>
        </is>
      </c>
      <c r="J29" s="19" t="inlineStr">
        <is>
          <t>現售價比方案少 40 元；與上一列同一商品頁的另一規格</t>
        </is>
      </c>
    </row>
    <row r="30" ht="28" customHeight="1">
      <c r="A30" s="18" t="inlineStr">
        <is>
          <t>Broth &amp; Paws</t>
        </is>
      </c>
      <c r="B30" s="19" t="inlineStr">
        <is>
          <t>Broth &amp; Paws 肉泥條</t>
        </is>
      </c>
      <c r="C30" s="19" t="inlineStr">
        <is>
          <t>10入</t>
        </is>
      </c>
      <c r="D30" s="20" t="n">
        <v>149</v>
      </c>
      <c r="E30" s="18" t="n">
        <v>10</v>
      </c>
      <c r="F30" s="20">
        <f>D30*E30</f>
        <v/>
      </c>
      <c r="G30" s="21" t="inlineStr">
        <is>
          <t>尚未上架</t>
        </is>
      </c>
      <c r="H30" s="18" t="n"/>
      <c r="I30" s="19" t="inlineStr">
        <is>
          <t>—</t>
        </is>
      </c>
      <c r="J30" s="19" t="inlineStr"/>
    </row>
    <row r="31" ht="28" customHeight="1">
      <c r="A31" s="18" t="inlineStr">
        <is>
          <t>Broth &amp; Paws</t>
        </is>
      </c>
      <c r="B31" s="19" t="inlineStr">
        <is>
          <t>Broth &amp; Paws 肉泥條</t>
        </is>
      </c>
      <c r="C31" s="19" t="inlineStr">
        <is>
          <t>20入</t>
        </is>
      </c>
      <c r="D31" s="20" t="n">
        <v>249</v>
      </c>
      <c r="E31" s="18" t="n">
        <v>5</v>
      </c>
      <c r="F31" s="20">
        <f>D31*E31</f>
        <v/>
      </c>
      <c r="G31" s="21" t="inlineStr">
        <is>
          <t>尚未上架</t>
        </is>
      </c>
      <c r="H31" s="18" t="n"/>
      <c r="I31" s="19" t="inlineStr">
        <is>
          <t>—</t>
        </is>
      </c>
      <c r="J31" s="19" t="inlineStr"/>
    </row>
    <row r="32" ht="28" customHeight="1">
      <c r="A32" s="18" t="inlineStr">
        <is>
          <t>Broth &amp; Paws</t>
        </is>
      </c>
      <c r="B32" s="19" t="inlineStr">
        <is>
          <t>安心陪伴組（CYBERBIZ）</t>
        </is>
      </c>
      <c r="C32" s="19" t="inlineStr">
        <is>
          <t>寵物餐包10入＋肉泥條20入</t>
        </is>
      </c>
      <c r="D32" s="20" t="n">
        <v>1099</v>
      </c>
      <c r="E32" s="18" t="n">
        <v>10</v>
      </c>
      <c r="F32" s="20">
        <f>D32*E32</f>
        <v/>
      </c>
      <c r="G32" s="21" t="inlineStr">
        <is>
          <t>尚未上架</t>
        </is>
      </c>
      <c r="H32" s="18" t="n"/>
      <c r="I32" s="19" t="inlineStr">
        <is>
          <t>—</t>
        </is>
      </c>
      <c r="J32" s="19" t="inlineStr"/>
    </row>
    <row r="33" ht="28" customHeight="1">
      <c r="A33" s="18" t="inlineStr">
        <is>
          <t>周邊商品</t>
        </is>
      </c>
      <c r="B33" s="19" t="inlineStr">
        <is>
          <t>雞湯大叔廚師娃娃</t>
        </is>
      </c>
      <c r="C33" s="19" t="inlineStr">
        <is>
          <t>單品</t>
        </is>
      </c>
      <c r="D33" s="20" t="n">
        <v>199</v>
      </c>
      <c r="E33" s="18" t="n">
        <v>5</v>
      </c>
      <c r="F33" s="20">
        <f>D33*E33</f>
        <v/>
      </c>
      <c r="G33" s="21" t="inlineStr">
        <is>
          <t>尚未上架</t>
        </is>
      </c>
      <c r="H33" s="18" t="n"/>
      <c r="I33" s="19" t="inlineStr">
        <is>
          <t>—</t>
        </is>
      </c>
      <c r="J33" s="19" t="inlineStr"/>
    </row>
    <row r="34" ht="28" customHeight="1">
      <c r="A34" s="18" t="inlineStr">
        <is>
          <t>周邊商品</t>
        </is>
      </c>
      <c r="B34" s="19" t="inlineStr">
        <is>
          <t>雞湯桑娃娃</t>
        </is>
      </c>
      <c r="C34" s="19" t="inlineStr">
        <is>
          <t>單品</t>
        </is>
      </c>
      <c r="D34" s="20" t="n">
        <v>199</v>
      </c>
      <c r="E34" s="18" t="n">
        <v>5</v>
      </c>
      <c r="F34" s="20">
        <f>D34*E34</f>
        <v/>
      </c>
      <c r="G34" s="21" t="inlineStr">
        <is>
          <t>尚未上架</t>
        </is>
      </c>
      <c r="H34" s="18" t="n"/>
      <c r="I34" s="19" t="inlineStr">
        <is>
          <t>—</t>
        </is>
      </c>
      <c r="J34" s="19" t="inlineStr"/>
    </row>
    <row r="35" ht="28" customHeight="1">
      <c r="A35" s="18" t="inlineStr">
        <is>
          <t>周邊商品</t>
        </is>
      </c>
      <c r="B35" s="19" t="inlineStr">
        <is>
          <t>麵屋一燈16週年小夜燈</t>
        </is>
      </c>
      <c r="C35" s="19" t="inlineStr">
        <is>
          <t>單品</t>
        </is>
      </c>
      <c r="D35" s="20" t="n">
        <v>299</v>
      </c>
      <c r="E35" s="18" t="n">
        <v>5</v>
      </c>
      <c r="F35" s="20">
        <f>D35*E35</f>
        <v/>
      </c>
      <c r="G35" s="21" t="inlineStr">
        <is>
          <t>尚未上架</t>
        </is>
      </c>
      <c r="H35" s="18" t="n"/>
      <c r="I35" s="19" t="inlineStr">
        <is>
          <t>—</t>
        </is>
      </c>
      <c r="J35" s="19" t="inlineStr"/>
    </row>
    <row r="36" ht="28" customHeight="1">
      <c r="A36" s="18" t="inlineStr">
        <is>
          <t>周邊商品</t>
        </is>
      </c>
      <c r="B36" s="19" t="inlineStr">
        <is>
          <t>賴山嶼種子盲盒</t>
        </is>
      </c>
      <c r="C36" s="19" t="inlineStr">
        <is>
          <t>單品</t>
        </is>
      </c>
      <c r="D36" s="20" t="n">
        <v>199</v>
      </c>
      <c r="E36" s="18" t="n">
        <v>5</v>
      </c>
      <c r="F36" s="20">
        <f>D36*E36</f>
        <v/>
      </c>
      <c r="G36" s="21" t="inlineStr">
        <is>
          <t>尚未上架</t>
        </is>
      </c>
      <c r="H36" s="18" t="n"/>
      <c r="I36" s="19" t="inlineStr">
        <is>
          <t>—</t>
        </is>
      </c>
      <c r="J36" s="19" t="inlineStr"/>
    </row>
    <row r="37" ht="28" customHeight="1">
      <c r="A37" s="18" t="inlineStr">
        <is>
          <t>周邊商品</t>
        </is>
      </c>
      <c r="B37" s="19" t="inlineStr">
        <is>
          <t>撈王九宮格老火鍋磁鐵</t>
        </is>
      </c>
      <c r="C37" s="19" t="inlineStr">
        <is>
          <t>單品</t>
        </is>
      </c>
      <c r="D37" s="20" t="n">
        <v>149</v>
      </c>
      <c r="E37" s="18" t="n">
        <v>5</v>
      </c>
      <c r="F37" s="20">
        <f>D37*E37</f>
        <v/>
      </c>
      <c r="G37" s="21" t="inlineStr">
        <is>
          <t>尚未上架</t>
        </is>
      </c>
      <c r="H37" s="18" t="n"/>
      <c r="I37" s="19" t="inlineStr">
        <is>
          <t>—</t>
        </is>
      </c>
      <c r="J37" s="19" t="inlineStr"/>
    </row>
    <row r="38" ht="28" customHeight="1">
      <c r="A38" s="18" t="inlineStr">
        <is>
          <t>周邊商品</t>
        </is>
      </c>
      <c r="B38" s="19" t="inlineStr">
        <is>
          <t>五品牌九週年紀念組</t>
        </is>
      </c>
      <c r="C38" s="19" t="inlineStr">
        <is>
          <t>五品牌周邊各1件（共5件）</t>
        </is>
      </c>
      <c r="D38" s="20" t="n">
        <v>999</v>
      </c>
      <c r="E38" s="18" t="n">
        <v>8</v>
      </c>
      <c r="F38" s="20">
        <f>D38*E38</f>
        <v/>
      </c>
      <c r="G38" s="21" t="inlineStr">
        <is>
          <t>尚未上架</t>
        </is>
      </c>
      <c r="H38" s="18" t="n"/>
      <c r="I38" s="19" t="inlineStr">
        <is>
          <t>—</t>
        </is>
      </c>
      <c r="J38" s="19" t="inlineStr"/>
    </row>
    <row r="39">
      <c r="E39" s="24" t="inlineStr">
        <is>
          <t>合計</t>
        </is>
      </c>
      <c r="F39" s="25">
        <f>SUM(F3:F38)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46" customWidth="1" min="4" max="4"/>
  </cols>
  <sheetData>
    <row r="1">
      <c r="A1" s="3" t="inlineStr">
        <is>
          <t>MOMO 現有上架、但不在附錄1的38項清單內的商品（共 10 項）</t>
        </is>
      </c>
    </row>
    <row r="2">
      <c r="A2" s="17" t="inlineStr">
        <is>
          <t>商品編號</t>
        </is>
      </c>
      <c r="B2" s="17" t="inlineStr">
        <is>
          <t>商品名稱</t>
        </is>
      </c>
      <c r="C2" s="17" t="inlineStr">
        <is>
          <t>目前售價</t>
        </is>
      </c>
      <c r="D2" s="17" t="inlineStr">
        <is>
          <t>備註／建議</t>
        </is>
      </c>
    </row>
    <row r="3" ht="30" customHeight="1">
      <c r="A3" s="18" t="inlineStr">
        <is>
          <t>i_code 15394742</t>
        </is>
      </c>
      <c r="B3" s="19" t="inlineStr">
        <is>
          <t>【BROTH MASTER 雞湯大叔】$482雞湯火鍋套餐(雪花牛或梅花豬擇一)好禮即享券</t>
        </is>
      </c>
      <c r="C3" s="18" t="inlineStr">
        <is>
          <t>$438</t>
        </is>
      </c>
      <c r="D3" s="19" t="inlineStr">
        <is>
          <t>看似店內套餐即享券，與附錄5五品牌套餐券不同名稱，需確認是否為舊版本</t>
        </is>
      </c>
    </row>
    <row r="4" ht="30" customHeight="1">
      <c r="A4" s="18" t="inlineStr">
        <is>
          <t>i_code 15467510</t>
        </is>
      </c>
      <c r="B4" s="19" t="inlineStr">
        <is>
          <t>【阿爾法餐飲集團】雞湯大叔/雞湯桑/麵屋一燈/賴山嶼通用 $799抵$888好禮即享券(一次抵用型)</t>
        </is>
      </c>
      <c r="C4" s="18" t="inlineStr">
        <is>
          <t>$799</t>
        </is>
      </c>
      <c r="D4" s="19" t="inlineStr">
        <is>
          <t>面額 799 抵 888，與方案新券「799 抵 999」(15689826) 機制相同但面額不同，恐與新券混淆，建議下架或說明</t>
        </is>
      </c>
    </row>
    <row r="5" ht="30" customHeight="1">
      <c r="A5" s="18" t="inlineStr">
        <is>
          <t>i_code 15467509</t>
        </is>
      </c>
      <c r="B5" s="19" t="inlineStr">
        <is>
          <t>【BROTH MASTER 雞湯大叔】$1494泰國季限定-泰chill雙人套餐好禮即享券</t>
        </is>
      </c>
      <c r="C5" s="18" t="inlineStr">
        <is>
          <t>$1299</t>
        </is>
      </c>
      <c r="D5" s="19" t="inlineStr">
        <is>
          <t>不在附錄1／附錄5清單內</t>
        </is>
      </c>
    </row>
    <row r="6" ht="30" customHeight="1">
      <c r="A6" s="18" t="inlineStr">
        <is>
          <t>i_code 15394739</t>
        </is>
      </c>
      <c r="B6" s="19" t="inlineStr">
        <is>
          <t>【BROTH MASTER 雞湯大叔】$646雞湯火鍋套餐(海鮮拼盤)好禮即享券</t>
        </is>
      </c>
      <c r="C6" s="18" t="inlineStr">
        <is>
          <t>$587</t>
        </is>
      </c>
      <c r="D6" s="19" t="inlineStr">
        <is>
          <t>不在附錄1／附錄5清單內</t>
        </is>
      </c>
    </row>
    <row r="7" ht="30" customHeight="1">
      <c r="A7" s="18" t="inlineStr">
        <is>
          <t>i_code 15394740</t>
        </is>
      </c>
      <c r="B7" s="19" t="inlineStr">
        <is>
          <t>【BROTH MASTER 雞湯大叔】$613松露野菇雞湯火鍋套餐(板腱牛)好禮即享券</t>
        </is>
      </c>
      <c r="C7" s="18" t="inlineStr">
        <is>
          <t>$557</t>
        </is>
      </c>
      <c r="D7" s="19" t="inlineStr">
        <is>
          <t>不在附錄1／附錄5清單內</t>
        </is>
      </c>
    </row>
    <row r="8" ht="30" customHeight="1">
      <c r="A8" s="18" t="inlineStr">
        <is>
          <t>i_code 14614419</t>
        </is>
      </c>
      <c r="B8" s="19" t="inlineStr">
        <is>
          <t>【雞湯桑】$298松露旨味雞白湯拉麵 好禮即享券</t>
        </is>
      </c>
      <c r="C8" s="18" t="inlineStr">
        <is>
          <t>$298</t>
        </is>
      </c>
      <c r="D8" s="19" t="inlineStr">
        <is>
          <t>單品券，與附錄5「雞湯桑店內單人298/雙人608」套餐券名稱不同，需確認對應關係</t>
        </is>
      </c>
    </row>
    <row r="9" ht="30" customHeight="1">
      <c r="A9" s="18" t="inlineStr">
        <is>
          <t>i_code 14614418</t>
        </is>
      </c>
      <c r="B9" s="19" t="inlineStr">
        <is>
          <t>【雞湯桑】$248東京雞白湯拉麵 好禮即享券</t>
        </is>
      </c>
      <c r="C9" s="18" t="inlineStr">
        <is>
          <t>$248</t>
        </is>
      </c>
      <c r="D9" s="19" t="inlineStr">
        <is>
          <t>同上</t>
        </is>
      </c>
    </row>
    <row r="10" ht="30" customHeight="1">
      <c r="A10" s="18" t="inlineStr">
        <is>
          <t>i_code 14614420</t>
        </is>
      </c>
      <c r="B10" s="19" t="inlineStr">
        <is>
          <t>【雞湯桑】$298海膽魚子雞白湯拉麵 好禮即享券</t>
        </is>
      </c>
      <c r="C10" s="18" t="inlineStr">
        <is>
          <t>$298</t>
        </is>
      </c>
      <c r="D10" s="19" t="inlineStr">
        <is>
          <t>同上</t>
        </is>
      </c>
    </row>
    <row r="11" ht="30" customHeight="1">
      <c r="A11" s="18" t="inlineStr">
        <is>
          <t>i_code 14614416</t>
        </is>
      </c>
      <c r="B11" s="19" t="inlineStr">
        <is>
          <t>【雞湯桑】$248櫻花柚子拉麵 好禮即享券</t>
        </is>
      </c>
      <c r="C11" s="18" t="inlineStr">
        <is>
          <t>$248</t>
        </is>
      </c>
      <c r="D11" s="19" t="inlineStr">
        <is>
          <t>同上</t>
        </is>
      </c>
    </row>
    <row r="12" ht="30" customHeight="1">
      <c r="A12" s="18" t="inlineStr">
        <is>
          <t>i_code 14614417</t>
        </is>
      </c>
      <c r="B12" s="19" t="inlineStr">
        <is>
          <t>【雞湯桑】$248松露牛肝菌拉麵 好禮即享券</t>
        </is>
      </c>
      <c r="C12" s="18" t="inlineStr">
        <is>
          <t>$248</t>
        </is>
      </c>
      <c r="D12" s="19" t="inlineStr">
        <is>
          <t>同上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2026-09-14T11:49:31Z</dcterms:created>
  <dcterms:modified xmlns:dcterms="http://purl.org/dc/terms/" xmlns:xsi="http://www.w3.org/2001/XMLSchema-instance" xsi:type="dcterms:W3CDTF">2026-09-14T11:49:31Z</dcterms:modified>
</cp:coreProperties>
</file>